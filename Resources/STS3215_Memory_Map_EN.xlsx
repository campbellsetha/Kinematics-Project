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Magnetic Encoder SMS&amp;STS" sheetId="1" state="visible" r:id="rId1"/>
    <sheet xmlns:r="http://schemas.openxmlformats.org/officeDocument/2006/relationships" name="Special Byte Settings" sheetId="2" state="visible" r:id="rId2"/>
  </sheets>
  <definedNames>
    <definedName name="EPROM解锁指令">#REF!</definedName>
    <definedName name="PING_总线上舵机指令生成">#REF!</definedName>
    <definedName name="读当前位置指令">#REF!</definedName>
    <definedName name="恒速正反转速度指令">#REF!</definedName>
    <definedName name="清除当前圈数指令">#REF!</definedName>
    <definedName name="输出扭矩使能与自动较正指令">#REF!</definedName>
    <definedName name="位置模式控制转动指令_含加速度">#REF!</definedName>
    <definedName name="位置模式控制转动指令_无加速度">#REF!</definedName>
    <definedName name="修改ID号指令">#REF!</definedName>
    <definedName name="修改舵机工作模式指令">#REF!</definedName>
    <definedName name="SCS215_V2" localSheetId="0">'磁编码SMS&amp;STS'!$C$17:$K$68</definedName>
    <definedName name="_xlnm.Print_Titles" localSheetId="0">'Magnetic Encoder SMS&amp;STS'!$2:$10</definedName>
    <definedName name="_xlnm.Print_Area" localSheetId="0">'Magnetic Encoder SMS&amp;STS'!$C$2:$M$68</definedName>
  </definedNames>
  <calcPr calcId="144525" fullCalcOnLoad="1" concurrentCalc="0"/>
</workbook>
</file>

<file path=xl/styles.xml><?xml version="1.0" encoding="utf-8"?>
<styleSheet xmlns="http://schemas.openxmlformats.org/spreadsheetml/2006/main">
  <numFmts count="3">
    <numFmt numFmtId="164" formatCode="0_ "/>
    <numFmt numFmtId="165" formatCode="0\x"/>
    <numFmt numFmtId="166" formatCode="0.0%"/>
  </numFmts>
  <fonts count="29">
    <font>
      <name val="等线"/>
      <charset val="134"/>
      <color theme="1"/>
      <sz val="11"/>
      <scheme val="minor"/>
    </font>
    <font>
      <name val="宋体"/>
      <charset val="134"/>
      <color theme="1"/>
      <sz val="10"/>
    </font>
    <font>
      <name val="宋体"/>
      <charset val="134"/>
      <b val="1"/>
      <color rgb="FF000000"/>
      <sz val="10"/>
    </font>
    <font>
      <name val="宋体"/>
      <charset val="134"/>
      <color rgb="FF000000"/>
      <sz val="10"/>
    </font>
    <font>
      <name val="宋体"/>
      <charset val="134"/>
      <color theme="1"/>
      <sz val="11"/>
    </font>
    <font>
      <name val="等线"/>
      <charset val="134"/>
      <b val="1"/>
      <color rgb="FF000000"/>
      <sz val="14"/>
    </font>
    <font>
      <name val="等线"/>
      <charset val="134"/>
      <b val="1"/>
      <color theme="1"/>
      <sz val="14"/>
      <scheme val="minor"/>
    </font>
    <font>
      <name val="宋体"/>
      <charset val="134"/>
      <color rgb="FFFF0000"/>
      <sz val="10"/>
    </font>
    <font>
      <name val="宋体"/>
      <charset val="134"/>
      <color rgb="FFFF0000"/>
      <sz val="11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  <font>
      <name val="宋体"/>
      <charset val="134"/>
      <b val="1"/>
      <sz val="9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0">
    <xf numFmtId="0" fontId="0" fillId="0" borderId="0" applyAlignment="1">
      <alignment vertical="center"/>
    </xf>
    <xf numFmtId="42" fontId="0" fillId="0" borderId="0" applyAlignment="1">
      <alignment vertical="center"/>
    </xf>
    <xf numFmtId="0" fontId="9" fillId="6" borderId="0" applyAlignment="1">
      <alignment vertical="center"/>
    </xf>
    <xf numFmtId="0" fontId="10" fillId="7" borderId="8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9" fillId="8" borderId="0" applyAlignment="1">
      <alignment vertical="center"/>
    </xf>
    <xf numFmtId="0" fontId="11" fillId="9" borderId="0" applyAlignment="1">
      <alignment vertical="center"/>
    </xf>
    <xf numFmtId="43" fontId="0" fillId="0" borderId="0" applyAlignment="1">
      <alignment vertical="center"/>
    </xf>
    <xf numFmtId="0" fontId="12" fillId="10" borderId="0" applyAlignment="1">
      <alignment vertical="center"/>
    </xf>
    <xf numFmtId="0" fontId="13" fillId="0" borderId="0" applyAlignment="1">
      <alignment vertical="center"/>
    </xf>
    <xf numFmtId="9" fontId="0" fillId="0" borderId="0" applyAlignment="1">
      <alignment vertical="center"/>
    </xf>
    <xf numFmtId="0" fontId="14" fillId="0" borderId="0" applyAlignment="1">
      <alignment vertical="center"/>
    </xf>
    <xf numFmtId="0" fontId="0" fillId="11" borderId="9" applyAlignment="1">
      <alignment vertical="center"/>
    </xf>
    <xf numFmtId="0" fontId="12" fillId="12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0" applyAlignment="1">
      <alignment vertical="center"/>
    </xf>
    <xf numFmtId="0" fontId="20" fillId="0" borderId="10" applyAlignment="1">
      <alignment vertical="center"/>
    </xf>
    <xf numFmtId="0" fontId="12" fillId="13" borderId="0" applyAlignment="1">
      <alignment vertical="center"/>
    </xf>
    <xf numFmtId="0" fontId="15" fillId="0" borderId="11" applyAlignment="1">
      <alignment vertical="center"/>
    </xf>
    <xf numFmtId="0" fontId="12" fillId="14" borderId="0" applyAlignment="1">
      <alignment vertical="center"/>
    </xf>
    <xf numFmtId="0" fontId="21" fillId="15" borderId="12" applyAlignment="1">
      <alignment vertical="center"/>
    </xf>
    <xf numFmtId="0" fontId="22" fillId="15" borderId="8" applyAlignment="1">
      <alignment vertical="center"/>
    </xf>
    <xf numFmtId="0" fontId="23" fillId="16" borderId="13" applyAlignment="1">
      <alignment vertical="center"/>
    </xf>
    <xf numFmtId="0" fontId="9" fillId="17" borderId="0" applyAlignment="1">
      <alignment vertical="center"/>
    </xf>
    <xf numFmtId="0" fontId="12" fillId="18" borderId="0" applyAlignment="1">
      <alignment vertical="center"/>
    </xf>
    <xf numFmtId="0" fontId="24" fillId="0" borderId="14" applyAlignment="1">
      <alignment vertical="center"/>
    </xf>
    <xf numFmtId="0" fontId="25" fillId="0" borderId="15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9" fillId="21" borderId="0" applyAlignment="1">
      <alignment vertical="center"/>
    </xf>
    <xf numFmtId="0" fontId="12" fillId="22" borderId="0" applyAlignment="1">
      <alignment vertical="center"/>
    </xf>
    <xf numFmtId="0" fontId="9" fillId="23" borderId="0" applyAlignment="1">
      <alignment vertical="center"/>
    </xf>
    <xf numFmtId="0" fontId="9" fillId="4" borderId="0" applyAlignment="1">
      <alignment vertical="center"/>
    </xf>
    <xf numFmtId="0" fontId="9" fillId="24" borderId="0" applyAlignment="1">
      <alignment vertical="center"/>
    </xf>
    <xf numFmtId="0" fontId="9" fillId="25" borderId="0" applyAlignment="1">
      <alignment vertical="center"/>
    </xf>
    <xf numFmtId="0" fontId="12" fillId="26" borderId="0" applyAlignment="1">
      <alignment vertical="center"/>
    </xf>
    <xf numFmtId="0" fontId="12" fillId="27" borderId="0" applyAlignment="1">
      <alignment vertical="center"/>
    </xf>
    <xf numFmtId="0" fontId="9" fillId="28" borderId="0" applyAlignment="1">
      <alignment vertical="center"/>
    </xf>
    <xf numFmtId="0" fontId="9" fillId="29" borderId="0" applyAlignment="1">
      <alignment vertical="center"/>
    </xf>
    <xf numFmtId="0" fontId="12" fillId="30" borderId="0" applyAlignment="1">
      <alignment vertical="center"/>
    </xf>
    <xf numFmtId="0" fontId="9" fillId="31" borderId="0" applyAlignment="1">
      <alignment vertical="center"/>
    </xf>
    <xf numFmtId="0" fontId="12" fillId="32" borderId="0" applyAlignment="1">
      <alignment vertical="center"/>
    </xf>
    <xf numFmtId="0" fontId="12" fillId="33" borderId="0" applyAlignment="1">
      <alignment vertical="center"/>
    </xf>
    <xf numFmtId="0" fontId="9" fillId="34" borderId="0" applyAlignment="1">
      <alignment vertical="center"/>
    </xf>
    <xf numFmtId="0" fontId="12" fillId="35" borderId="0" applyAlignment="1">
      <alignment vertical="center"/>
    </xf>
    <xf numFmtId="0" fontId="0" fillId="0" borderId="0"/>
  </cellStyleXfs>
  <cellXfs count="7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5" applyAlignment="1" pivotButton="0" quotePrefix="0" xfId="0">
      <alignment horizontal="right" vertical="center"/>
    </xf>
    <xf numFmtId="0" fontId="8" fillId="4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 wrapText="1"/>
    </xf>
    <xf numFmtId="165" fontId="1" fillId="0" borderId="0" applyAlignment="1" pivotButton="0" quotePrefix="0" xfId="0">
      <alignment vertical="center"/>
    </xf>
    <xf numFmtId="165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/>
    </xf>
    <xf numFmtId="0" fontId="1" fillId="0" borderId="6" applyAlignment="1" pivotButton="0" quotePrefix="0" xfId="0">
      <alignment horizontal="right" vertical="center"/>
    </xf>
    <xf numFmtId="0" fontId="1" fillId="2" borderId="6" applyAlignment="1" pivotButton="0" quotePrefix="0" xfId="0">
      <alignment horizontal="center" vertical="center"/>
    </xf>
    <xf numFmtId="165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10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58" fontId="1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6" applyAlignment="1" pivotButton="0" quotePrefix="1" xfId="0">
      <alignment horizontal="center" vertical="center"/>
    </xf>
    <xf numFmtId="58" fontId="1" fillId="0" borderId="6" applyAlignment="1" pivotButton="0" quotePrefix="1" xfId="0">
      <alignment horizontal="center" vertical="center" wrapText="1"/>
    </xf>
    <xf numFmtId="0" fontId="0" fillId="0" borderId="0" pivotButton="0" quotePrefix="0" xfId="0"/>
    <xf numFmtId="164" fontId="4" fillId="0" borderId="0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18" pivotButton="0" quotePrefix="0" xfId="0"/>
    <xf numFmtId="165" fontId="1" fillId="0" borderId="0" applyAlignment="1" pivotButton="0" quotePrefix="0" xfId="0">
      <alignment vertical="center"/>
    </xf>
    <xf numFmtId="165" fontId="1" fillId="0" borderId="6" applyAlignment="1" pivotButton="0" quotePrefix="0" xfId="0">
      <alignment horizontal="center" vertical="center"/>
    </xf>
    <xf numFmtId="166" fontId="1" fillId="0" borderId="6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5" pivotButton="0" quotePrefix="0" xfId="0"/>
    <xf numFmtId="0" fontId="0" fillId="0" borderId="2" pivotButton="0" quotePrefix="0" xfId="0"/>
    <xf numFmtId="0" fontId="0" fillId="0" borderId="4" pivotButton="0" quotePrefix="0" xfId="0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ASUS</author>
  </authors>
  <commentList>
    <comment ref="D1" authorId="0" shapeId="0">
      <text>
        <t>稳定版本:
SMServo2.40-STM32-485(181114).bin(固件版本：2.43)
一、出厂参数增加移动检测最小速度(80)
二、出厂参数增加电机模式步进限制(84)
PWM步进=加速度(ACC)*4，ACC=0则默认为值出厂预设最大值，最大步进限制=步进限制参数(84)*4
三、相位第3位为速度模式位(详细参考相位说明)
速度模式位0：速度0为停止
速度模式位1：速度0为最高速度
四、EPROM存储算法优化，原算法适合频繁读写EPROM操作，算法复杂，可能存在不可预知BUG，修改后算法更加精简，适合偶尔进行读写操作应用。升级固件后需要重设参数
SMServo2.40-STM32-485(181121).bin(固件版本：2.43)
一、修正位置校正参数方向位(bit15修正为bit11)
2018-11-26 更新批量固件
SMServo2.40-STM32-485(190225).bin(固件版本：2.43)
一、相位（18），bit7作为伺服方向位(bit7伺服方向与bit0相位，配合调节)
二、扭矩开关(40)，bit7作为中位较正位，bit7=1把当前位置作为中位（2048），较正成功bit7=0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68"/>
  <sheetViews>
    <sheetView tabSelected="1" workbookViewId="0">
      <pane xSplit="13" ySplit="9" topLeftCell="N43" activePane="bottomRight" state="frozen"/>
      <selection activeCell="A1" sqref="A1"/>
      <selection pane="topRight" activeCell="A1" sqref="A1"/>
      <selection pane="bottomLeft" activeCell="A1" sqref="A1"/>
      <selection pane="bottomRight" activeCell="A45" sqref="$A43:$XFD43 $A45:$XFD45"/>
    </sheetView>
  </sheetViews>
  <sheetFormatPr baseColWidth="8" defaultColWidth="9" defaultRowHeight="13.8"/>
  <cols>
    <col width="3.22222222222222" customWidth="1" style="66" min="1" max="2"/>
    <col width="3.44444444444444" customWidth="1" style="24" min="3" max="3"/>
    <col width="7.66666666666667" customWidth="1" style="24" min="4" max="4"/>
    <col width="18.3333333333333" customWidth="1" style="66" min="5" max="5"/>
    <col width="6.88888888888889" customWidth="1" style="24" min="6" max="6"/>
    <col width="6.33333333333333" customWidth="1" style="66" min="7" max="7"/>
    <col width="6.44444444444444" customWidth="1" style="24" min="8" max="8"/>
    <col width="5.22222222222222" customWidth="1" style="24" min="9" max="9"/>
    <col width="8.77777777777778" customWidth="1" style="24" min="10" max="10"/>
    <col width="8.22222222222222" customWidth="1" style="24" min="11" max="11"/>
    <col width="10.5555555555556" customWidth="1" style="24" min="12" max="12"/>
    <col width="69.1111111111111" customWidth="1" style="66" min="13" max="13"/>
  </cols>
  <sheetData>
    <row r="1" hidden="1" s="66">
      <c r="D1" s="25" t="inlineStr">
        <is>
          <t>SMServo2.40-STM32-485(190225).bin (Firmware Version: 2.43)</t>
        </is>
      </c>
      <c r="M1" s="52" t="inlineStr">
        <is>
          <t>2019-02-25 Verified &amp; Updated</t>
        </is>
      </c>
    </row>
    <row r="2" ht="17.4" customHeight="1" s="66">
      <c r="C2" s="26" t="inlineStr">
        <is>
          <t>Magnetic Encoder SMS&amp;STS - Memory Table Reference_220328</t>
        </is>
      </c>
    </row>
    <row r="3" ht="14.4" customFormat="1" customHeight="1" s="34">
      <c r="C3" s="28" t="n"/>
      <c r="D3" s="32" t="inlineStr">
        <is>
          <t>No-Load Speed (RPM)</t>
        </is>
      </c>
      <c r="F3" s="67">
        <f>F4*0.732/50</f>
        <v/>
      </c>
      <c r="H3" s="32" t="inlineStr">
        <is>
          <t>Test Voltage (V)</t>
        </is>
      </c>
      <c r="K3" s="28" t="n"/>
      <c r="L3" s="28" t="n"/>
      <c r="M3" s="53" t="n"/>
    </row>
    <row r="4" ht="14.4" customFormat="1" customHeight="1" s="34">
      <c r="C4" s="28" t="n"/>
      <c r="D4" s="32" t="inlineStr">
        <is>
          <t>No-Load Speed (steps/sec)</t>
        </is>
      </c>
      <c r="F4" s="31" t="n"/>
      <c r="H4" s="32" t="inlineStr">
        <is>
          <t>No-Load Current (mA)</t>
        </is>
      </c>
      <c r="K4" s="28" t="n"/>
      <c r="L4" s="28" t="n"/>
    </row>
    <row r="5" ht="14.4" customFormat="1" customHeight="1" s="34">
      <c r="C5" s="28" t="n"/>
      <c r="D5" s="32" t="inlineStr">
        <is>
          <t>Maximum Effective Angle (degrees)</t>
        </is>
      </c>
      <c r="F5" s="32" t="n">
        <v>360</v>
      </c>
      <c r="G5" s="53" t="inlineStr">
        <is>
          <t>Supports multi-turn large angle control; turn count not saved on power-off</t>
        </is>
      </c>
      <c r="H5" s="34" t="n"/>
      <c r="I5" s="34" t="n"/>
      <c r="J5" s="34" t="n"/>
      <c r="K5" s="28" t="n"/>
      <c r="L5" s="28" t="n"/>
    </row>
    <row r="6" ht="14.4" customFormat="1" customHeight="1" s="34">
      <c r="C6" s="28" t="n"/>
      <c r="D6" s="32" t="inlineStr">
        <is>
          <t>Resolution (steps)</t>
        </is>
      </c>
      <c r="F6" s="32" t="n">
        <v>4096</v>
      </c>
      <c r="H6" s="32" t="n"/>
      <c r="K6" s="28" t="n"/>
      <c r="L6" s="28" t="n"/>
    </row>
    <row r="7" ht="14.4" customFormat="1" customHeight="1" s="34">
      <c r="C7" s="28" t="n"/>
      <c r="D7" s="32" t="inlineStr">
        <is>
          <t>Minimum Resolution Angle (degrees/step)</t>
        </is>
      </c>
      <c r="F7" s="32">
        <f>F5/F6</f>
        <v/>
      </c>
      <c r="H7" s="32" t="inlineStr">
        <is>
          <t>Electronic Dead Band (degrees)</t>
        </is>
      </c>
      <c r="K7" s="28">
        <f>(G35*F7)+(G34*F7)</f>
        <v/>
      </c>
      <c r="L7" s="28" t="n"/>
    </row>
    <row r="8" ht="14.4" customFormat="1" customHeight="1" s="34">
      <c r="C8" s="28" t="n"/>
      <c r="D8" s="35" t="inlineStr">
        <is>
          <t>Acceleration (degrees/s²)</t>
        </is>
      </c>
      <c r="E8" s="68" t="n"/>
      <c r="F8" s="32">
        <f>F7*100</f>
        <v/>
      </c>
      <c r="H8" s="32" t="n"/>
      <c r="K8" s="28" t="n"/>
      <c r="L8" s="28" t="n"/>
    </row>
    <row r="9" ht="14.4" customFormat="1" customHeight="1" s="34">
      <c r="C9" s="36" t="inlineStr">
        <is>
          <t>Memory Start Address</t>
        </is>
      </c>
      <c r="D9" s="69" t="n"/>
      <c r="E9" s="36" t="inlineStr">
        <is>
          <t>Function</t>
        </is>
      </c>
      <c r="F9" s="36" t="inlineStr">
        <is>
          <t>Byte Count</t>
        </is>
      </c>
      <c r="G9" s="36" t="inlineStr">
        <is>
          <t>Initial Value</t>
        </is>
      </c>
      <c r="H9" s="36" t="inlineStr">
        <is>
          <t>Storage Area</t>
        </is>
      </c>
      <c r="I9" s="36" t="inlineStr">
        <is>
          <t>Permission</t>
        </is>
      </c>
      <c r="J9" s="36" t="inlineStr">
        <is>
          <t>Min Value</t>
        </is>
      </c>
      <c r="K9" s="36" t="inlineStr">
        <is>
          <t>Max Value</t>
        </is>
      </c>
      <c r="L9" s="36" t="inlineStr">
        <is>
          <t>Unit</t>
        </is>
      </c>
      <c r="M9" s="36" t="inlineStr">
        <is>
          <t>Value Description</t>
        </is>
      </c>
    </row>
    <row r="10" ht="24" customFormat="1" customHeight="1" s="22">
      <c r="A10" s="22" t="inlineStr">
        <is>
          <t>0x</t>
        </is>
      </c>
      <c r="C10" s="43" t="inlineStr">
        <is>
          <t>DEC</t>
        </is>
      </c>
      <c r="D10" s="43" t="inlineStr">
        <is>
          <t>HEX</t>
        </is>
      </c>
      <c r="E10" s="51" t="n"/>
      <c r="F10" s="55" t="inlineStr">
        <is>
          <t>Low byte first
High byte last</t>
        </is>
      </c>
      <c r="G10" s="51" t="n"/>
      <c r="H10" s="43" t="n"/>
      <c r="I10" s="43" t="n"/>
      <c r="J10" s="43" t="n"/>
      <c r="K10" s="43" t="n"/>
      <c r="L10" s="55" t="n"/>
      <c r="M10" s="56" t="inlineStr">
        <is>
          <t>For 2-byte registers, the low byte occupies the lower address and the high byte the higher address</t>
        </is>
      </c>
    </row>
    <row r="11" ht="12" customFormat="1" customHeight="1" s="22">
      <c r="A11" s="70">
        <f>DEC2HEX(C11)</f>
        <v/>
      </c>
      <c r="B11" s="70" t="n"/>
      <c r="C11" s="43" t="n">
        <v>0</v>
      </c>
      <c r="D11" s="71">
        <f>CONCATENATE($A$4,A11)</f>
        <v/>
      </c>
      <c r="E11" s="51" t="inlineStr">
        <is>
          <t>Firmware Major Version</t>
        </is>
      </c>
      <c r="F11" s="43" t="n">
        <v>1</v>
      </c>
      <c r="G11" s="51" t="n"/>
      <c r="H11" s="44" t="inlineStr">
        <is>
          <t>EPROM</t>
        </is>
      </c>
      <c r="I11" s="43" t="inlineStr">
        <is>
          <t>Read Only</t>
        </is>
      </c>
      <c r="J11" s="64" t="inlineStr">
        <is>
          <t>--</t>
        </is>
      </c>
      <c r="K11" s="64" t="inlineStr">
        <is>
          <t>--</t>
        </is>
      </c>
      <c r="L11" s="55" t="n"/>
      <c r="M11" s="56" t="n"/>
    </row>
    <row r="12" ht="12" customFormat="1" customHeight="1" s="22">
      <c r="A12" s="70">
        <f>DEC2HEX(C12)</f>
        <v/>
      </c>
      <c r="B12" s="70" t="n"/>
      <c r="C12" s="43" t="n">
        <v>1</v>
      </c>
      <c r="D12" s="71">
        <f>CONCATENATE($A$4,A12)</f>
        <v/>
      </c>
      <c r="E12" s="51" t="inlineStr">
        <is>
          <t>Firmware Minor Version</t>
        </is>
      </c>
      <c r="F12" s="43" t="n">
        <v>1</v>
      </c>
      <c r="G12" s="51" t="n"/>
      <c r="H12" s="44" t="inlineStr">
        <is>
          <t>EPROM</t>
        </is>
      </c>
      <c r="I12" s="43" t="inlineStr">
        <is>
          <t>Read Only</t>
        </is>
      </c>
      <c r="J12" s="64" t="inlineStr">
        <is>
          <t>--</t>
        </is>
      </c>
      <c r="K12" s="64" t="inlineStr">
        <is>
          <t>--</t>
        </is>
      </c>
      <c r="L12" s="55" t="n"/>
      <c r="M12" s="56" t="n"/>
    </row>
    <row r="13" ht="12" customFormat="1" customHeight="1" s="22">
      <c r="A13" s="70">
        <f>DEC2HEX(C13)</f>
        <v/>
      </c>
      <c r="B13" s="70" t="n"/>
      <c r="C13" s="43" t="n">
        <v>2</v>
      </c>
      <c r="D13" s="71">
        <f>CONCATENATE($A$4,A13)</f>
        <v/>
      </c>
      <c r="E13" s="45" t="inlineStr">
        <is>
          <t>END</t>
        </is>
      </c>
      <c r="F13" s="43" t="n">
        <v>1</v>
      </c>
      <c r="G13" s="46" t="n">
        <v>0</v>
      </c>
      <c r="H13" s="44" t="inlineStr">
        <is>
          <t>EPROM</t>
        </is>
      </c>
      <c r="I13" s="43" t="inlineStr">
        <is>
          <t>Read Only</t>
        </is>
      </c>
      <c r="J13" s="64" t="inlineStr">
        <is>
          <t>--</t>
        </is>
      </c>
      <c r="K13" s="64" t="inlineStr">
        <is>
          <t>--</t>
        </is>
      </c>
      <c r="L13" s="55" t="n"/>
      <c r="M13" s="56" t="n"/>
    </row>
    <row r="14" ht="12" customFormat="1" customHeight="1" s="22">
      <c r="A14" s="70">
        <f>DEC2HEX(C14)</f>
        <v/>
      </c>
      <c r="B14" s="70" t="n"/>
      <c r="C14" s="43" t="n">
        <v>3</v>
      </c>
      <c r="D14" s="71">
        <f>CONCATENATE($A$4,A14)</f>
        <v/>
      </c>
      <c r="E14" s="51" t="inlineStr">
        <is>
          <t>Servo Hardware Major Version</t>
        </is>
      </c>
      <c r="F14" s="43" t="n">
        <v>1</v>
      </c>
      <c r="G14" s="51" t="n"/>
      <c r="H14" s="44" t="inlineStr">
        <is>
          <t>EPROM</t>
        </is>
      </c>
      <c r="I14" s="43" t="inlineStr">
        <is>
          <t>Read Only</t>
        </is>
      </c>
      <c r="J14" s="64" t="inlineStr">
        <is>
          <t>--</t>
        </is>
      </c>
      <c r="K14" s="64" t="inlineStr">
        <is>
          <t>--</t>
        </is>
      </c>
      <c r="L14" s="55" t="n"/>
      <c r="M14" s="56" t="n"/>
    </row>
    <row r="15" ht="12" customFormat="1" customHeight="1" s="22">
      <c r="A15" s="70">
        <f>DEC2HEX(C15)</f>
        <v/>
      </c>
      <c r="B15" s="70" t="n"/>
      <c r="C15" s="43" t="n">
        <v>4</v>
      </c>
      <c r="D15" s="71">
        <f>CONCATENATE($A$4,A15)</f>
        <v/>
      </c>
      <c r="E15" s="51" t="inlineStr">
        <is>
          <t>Servo Hardware Minor Version</t>
        </is>
      </c>
      <c r="F15" s="43" t="n">
        <v>1</v>
      </c>
      <c r="G15" s="51" t="n"/>
      <c r="H15" s="44" t="inlineStr">
        <is>
          <t>EPROM</t>
        </is>
      </c>
      <c r="I15" s="43" t="inlineStr">
        <is>
          <t>Read Only</t>
        </is>
      </c>
      <c r="J15" s="64" t="inlineStr">
        <is>
          <t>--</t>
        </is>
      </c>
      <c r="K15" s="64" t="inlineStr">
        <is>
          <t>--</t>
        </is>
      </c>
      <c r="L15" s="55" t="n"/>
      <c r="M15" s="56" t="n"/>
    </row>
    <row r="16" ht="24" customFormat="1" customHeight="1" s="22">
      <c r="A16" s="70">
        <f>DEC2HEX(C16)</f>
        <v/>
      </c>
      <c r="B16" s="70" t="n"/>
      <c r="C16" s="43" t="n">
        <v>5</v>
      </c>
      <c r="D16" s="71">
        <f>CONCATENATE($A$10,A16)</f>
        <v/>
      </c>
      <c r="E16" s="51" t="inlineStr">
        <is>
          <t>ID</t>
        </is>
      </c>
      <c r="F16" s="43" t="n">
        <v>1</v>
      </c>
      <c r="G16" s="51" t="n">
        <v>1</v>
      </c>
      <c r="H16" s="47" t="inlineStr">
        <is>
          <t>EPROM</t>
        </is>
      </c>
      <c r="I16" s="43" t="inlineStr">
        <is>
          <t>Read/Write</t>
        </is>
      </c>
      <c r="J16" s="43" t="n">
        <v>0</v>
      </c>
      <c r="K16" s="43" t="n">
        <v>253</v>
      </c>
      <c r="L16" s="55" t="inlineStr">
        <is>
          <t>ID No.</t>
        </is>
      </c>
      <c r="M16" s="56" t="inlineStr">
        <is>
          <t>Unique ID on the bus. Duplicate IDs are not permitted on the same bus.
ID 254 (0xFE) is the broadcast ID; broadcast commands do not return a response packet.</t>
        </is>
      </c>
    </row>
    <row r="17" ht="24" customFormat="1" customHeight="1" s="22">
      <c r="A17" s="70">
        <f>DEC2HEX(C17)</f>
        <v/>
      </c>
      <c r="B17" s="70" t="n"/>
      <c r="C17" s="43" t="n">
        <v>6</v>
      </c>
      <c r="D17" s="71">
        <f>CONCATENATE($A$10,A17)</f>
        <v/>
      </c>
      <c r="E17" s="51" t="inlineStr">
        <is>
          <t>Baud Rate</t>
        </is>
      </c>
      <c r="F17" s="43" t="n">
        <v>1</v>
      </c>
      <c r="G17" s="51" t="n">
        <v>0</v>
      </c>
      <c r="H17" s="47" t="inlineStr">
        <is>
          <t>EPROM</t>
        </is>
      </c>
      <c r="I17" s="43" t="inlineStr">
        <is>
          <t>Read/Write</t>
        </is>
      </c>
      <c r="J17" s="43" t="n">
        <v>0</v>
      </c>
      <c r="K17" s="43" t="n">
        <v>7</v>
      </c>
      <c r="L17" s="55" t="inlineStr">
        <is>
          <t>None</t>
        </is>
      </c>
      <c r="M17" s="56" t="inlineStr">
        <is>
          <t>Values 0–7 correspond to baud rates:
1000000, 500000, 250000, 128000, 115200, 76800, 57600, 38400</t>
        </is>
      </c>
    </row>
    <row r="18" ht="12" customFormat="1" customHeight="1" s="22">
      <c r="A18" s="70">
        <f>DEC2HEX(C18)</f>
        <v/>
      </c>
      <c r="B18" s="70" t="n"/>
      <c r="C18" s="43" t="n">
        <v>7</v>
      </c>
      <c r="D18" s="71">
        <f>CONCATENATE($A$10,A18)</f>
        <v/>
      </c>
      <c r="E18" s="51" t="inlineStr">
        <is>
          <t>Return Delay</t>
        </is>
      </c>
      <c r="F18" s="43" t="n">
        <v>1</v>
      </c>
      <c r="G18" s="51" t="n">
        <v>250</v>
      </c>
      <c r="H18" s="47" t="inlineStr">
        <is>
          <t>EPROM</t>
        </is>
      </c>
      <c r="I18" s="43" t="inlineStr">
        <is>
          <t>Read/Write</t>
        </is>
      </c>
      <c r="J18" s="43" t="n">
        <v>0</v>
      </c>
      <c r="K18" s="43" t="n">
        <v>254</v>
      </c>
      <c r="L18" s="55" t="inlineStr">
        <is>
          <t>2us</t>
        </is>
      </c>
      <c r="M18" s="57" t="inlineStr">
        <is>
          <t>Minimum unit: 2μs. Maximum return delay: 254×2 = 508μs. (No function at this address on STS series.)</t>
        </is>
      </c>
    </row>
    <row r="19" ht="24" customFormat="1" customHeight="1" s="22">
      <c r="A19" s="70">
        <f>DEC2HEX(C19)</f>
        <v/>
      </c>
      <c r="B19" s="70" t="n"/>
      <c r="C19" s="43" t="n">
        <v>8</v>
      </c>
      <c r="D19" s="71">
        <f>CONCATENATE($A$10,A19)</f>
        <v/>
      </c>
      <c r="E19" s="45" t="inlineStr">
        <is>
          <t>Phase 2 (Response Status Level)</t>
        </is>
      </c>
      <c r="F19" s="43" t="n">
        <v>1</v>
      </c>
      <c r="G19" s="51" t="n">
        <v>1</v>
      </c>
      <c r="H19" s="47" t="inlineStr">
        <is>
          <t>EPROM</t>
        </is>
      </c>
      <c r="I19" s="43" t="inlineStr">
        <is>
          <t>Read/Write</t>
        </is>
      </c>
      <c r="J19" s="43" t="n">
        <v>0</v>
      </c>
      <c r="K19" s="43" t="n">
        <v>1</v>
      </c>
      <c r="L19" s="55" t="inlineStr">
        <is>
          <t>None</t>
        </is>
      </c>
      <c r="M19" s="56" t="inlineStr">
        <is>
          <t>0: No response packet for any instruction except READ and PING.
1: Response packet returned for all instructions.</t>
        </is>
      </c>
    </row>
    <row r="20" ht="12" customFormat="1" customHeight="1" s="22">
      <c r="A20" s="70">
        <f>DEC2HEX(C20)</f>
        <v/>
      </c>
      <c r="B20" s="70" t="n"/>
      <c r="C20" s="43" t="n">
        <v>9</v>
      </c>
      <c r="D20" s="71">
        <f>CONCATENATE($A$10,A20)</f>
        <v/>
      </c>
      <c r="E20" s="51" t="inlineStr">
        <is>
          <t>Minimum Angle Limit</t>
        </is>
      </c>
      <c r="F20" s="43" t="n">
        <v>2</v>
      </c>
      <c r="G20" s="51" t="n">
        <v>0</v>
      </c>
      <c r="H20" s="47" t="inlineStr">
        <is>
          <t>EPROM</t>
        </is>
      </c>
      <c r="I20" s="43" t="inlineStr">
        <is>
          <t>Read/Write</t>
        </is>
      </c>
      <c r="J20" s="43" t="n">
        <v>0</v>
      </c>
      <c r="K20" s="43" t="n">
        <v>4094</v>
      </c>
      <c r="L20" s="55" t="inlineStr">
        <is>
          <t>steps</t>
        </is>
      </c>
      <c r="M20" s="56" t="inlineStr">
        <is>
          <t>Sets the minimum travel limit. Value must be less than the maximum angle limit. Set to 0 when using multi-turn absolute position control.</t>
        </is>
      </c>
    </row>
    <row r="21" ht="12" customFormat="1" customHeight="1" s="22">
      <c r="A21" s="70">
        <f>DEC2HEX(C21)</f>
        <v/>
      </c>
      <c r="B21" s="70" t="n"/>
      <c r="C21" s="43" t="n">
        <v>11</v>
      </c>
      <c r="D21" s="71">
        <f>CONCATENATE($A$10,A21)</f>
        <v/>
      </c>
      <c r="E21" s="51" t="inlineStr">
        <is>
          <t>Maximum Angle Limit</t>
        </is>
      </c>
      <c r="F21" s="43" t="n">
        <v>2</v>
      </c>
      <c r="G21" s="51" t="n">
        <v>4095</v>
      </c>
      <c r="H21" s="47" t="inlineStr">
        <is>
          <t>EPROM</t>
        </is>
      </c>
      <c r="I21" s="43" t="inlineStr">
        <is>
          <t>Read/Write</t>
        </is>
      </c>
      <c r="J21" s="43" t="n">
        <v>1</v>
      </c>
      <c r="K21" s="43" t="n">
        <v>4095</v>
      </c>
      <c r="L21" s="55" t="inlineStr">
        <is>
          <t>steps</t>
        </is>
      </c>
      <c r="M21" s="56" t="inlineStr">
        <is>
          <t>Sets the maximum travel limit. Value must be greater than the minimum angle limit. Set to 0 when using multi-turn absolute position control.</t>
        </is>
      </c>
    </row>
    <row r="22" ht="12" customFormat="1" customHeight="1" s="22">
      <c r="A22" s="70">
        <f>DEC2HEX(C22)</f>
        <v/>
      </c>
      <c r="B22" s="70" t="n"/>
      <c r="C22" s="43" t="n">
        <v>13</v>
      </c>
      <c r="D22" s="71">
        <f>CONCATENATE($A$10,A22)</f>
        <v/>
      </c>
      <c r="E22" s="51" t="inlineStr">
        <is>
          <t>Maximum Temperature Limit</t>
        </is>
      </c>
      <c r="F22" s="43" t="n">
        <v>1</v>
      </c>
      <c r="G22" s="51" t="n">
        <v>70</v>
      </c>
      <c r="H22" s="47" t="inlineStr">
        <is>
          <t>EPROM</t>
        </is>
      </c>
      <c r="I22" s="43" t="inlineStr">
        <is>
          <t>Read/Write</t>
        </is>
      </c>
      <c r="J22" s="43" t="n">
        <v>0</v>
      </c>
      <c r="K22" s="43" t="n">
        <v>100</v>
      </c>
      <c r="L22" s="55" t="inlineStr">
        <is>
          <t>°C</t>
        </is>
      </c>
      <c r="M22" s="56" t="inlineStr">
        <is>
          <t>Maximum operating temperature limit. E.g., a value of 70 = 70°C. Precision: 1°C.</t>
        </is>
      </c>
    </row>
    <row r="23" ht="24" customFormat="1" customHeight="1" s="22">
      <c r="A23" s="70">
        <f>DEC2HEX(C23)</f>
        <v/>
      </c>
      <c r="B23" s="70" t="n"/>
      <c r="C23" s="43" t="n">
        <v>14</v>
      </c>
      <c r="D23" s="71">
        <f>CONCATENATE($A$10,A23)</f>
        <v/>
      </c>
      <c r="E23" s="51" t="inlineStr">
        <is>
          <t>Maximum Input Voltage</t>
        </is>
      </c>
      <c r="F23" s="43" t="n">
        <v>1</v>
      </c>
      <c r="G23" s="51" t="n"/>
      <c r="H23" s="47" t="inlineStr">
        <is>
          <t>EPROM</t>
        </is>
      </c>
      <c r="I23" s="43" t="inlineStr">
        <is>
          <t>Read/Write</t>
        </is>
      </c>
      <c r="J23" s="43" t="n">
        <v>0</v>
      </c>
      <c r="K23" s="43" t="n">
        <v>254</v>
      </c>
      <c r="L23" s="55" t="inlineStr">
        <is>
          <t>0.1V</t>
        </is>
      </c>
      <c r="M23" s="56" t="inlineStr">
        <is>
          <t>Maximum input voltage. E.g., a value of 80 = 8.0V. Precision: 0.1V.</t>
        </is>
      </c>
    </row>
    <row r="24" ht="12" customFormat="1" customHeight="1" s="22">
      <c r="A24" s="70">
        <f>DEC2HEX(C24)</f>
        <v/>
      </c>
      <c r="B24" s="70" t="n"/>
      <c r="C24" s="43" t="n">
        <v>15</v>
      </c>
      <c r="D24" s="71">
        <f>CONCATENATE($A$10,A24)</f>
        <v/>
      </c>
      <c r="E24" s="51" t="inlineStr">
        <is>
          <t>Minimum Input Voltage</t>
        </is>
      </c>
      <c r="F24" s="43" t="n">
        <v>1</v>
      </c>
      <c r="G24" s="51" t="n"/>
      <c r="H24" s="47" t="inlineStr">
        <is>
          <t>EPROM</t>
        </is>
      </c>
      <c r="I24" s="43" t="inlineStr">
        <is>
          <t>Read/Write</t>
        </is>
      </c>
      <c r="J24" s="43" t="n">
        <v>0</v>
      </c>
      <c r="K24" s="43" t="n">
        <v>254</v>
      </c>
      <c r="L24" s="55" t="inlineStr">
        <is>
          <t>0.1V</t>
        </is>
      </c>
      <c r="M24" s="56" t="inlineStr">
        <is>
          <t>Minimum input voltage. E.g., a value of 40 = 4.0V. Precision: 0.1V.</t>
        </is>
      </c>
    </row>
    <row r="25" ht="24" customFormat="1" customHeight="1" s="22">
      <c r="A25" s="70">
        <f>DEC2HEX(C25)</f>
        <v/>
      </c>
      <c r="B25" s="70" t="n"/>
      <c r="C25" s="43" t="n">
        <v>16</v>
      </c>
      <c r="D25" s="71">
        <f>CONCATENATE($A$10,A25)</f>
        <v/>
      </c>
      <c r="E25" s="51" t="inlineStr">
        <is>
          <t>Maximum Torque</t>
        </is>
      </c>
      <c r="F25" s="43" t="n">
        <v>2</v>
      </c>
      <c r="G25" s="51" t="n">
        <v>1000</v>
      </c>
      <c r="H25" s="47" t="inlineStr">
        <is>
          <t>EPROM</t>
        </is>
      </c>
      <c r="I25" s="43" t="inlineStr">
        <is>
          <t>Read/Write</t>
        </is>
      </c>
      <c r="J25" s="43" t="n">
        <v>0</v>
      </c>
      <c r="K25" s="43" t="n">
        <v>1000</v>
      </c>
      <c r="L25" s="58" t="n">
        <v>0.001</v>
      </c>
      <c r="M25" s="56" t="inlineStr">
        <is>
          <t>Sets the maximum output torque limit. 1000 = 100% of stall torque.
On power-up, this value is copied to address 0x30 (Torque Limit).</t>
        </is>
      </c>
    </row>
    <row r="26" ht="12" customFormat="1" customHeight="1" s="22">
      <c r="A26" s="70">
        <f>DEC2HEX(C26)</f>
        <v/>
      </c>
      <c r="B26" s="70" t="n"/>
      <c r="C26" s="43" t="n">
        <v>18</v>
      </c>
      <c r="D26" s="71">
        <f>CONCATENATE($A$10,A26)</f>
        <v/>
      </c>
      <c r="E26" s="51" t="inlineStr">
        <is>
          <t>Phase</t>
        </is>
      </c>
      <c r="F26" s="43" t="n">
        <v>1</v>
      </c>
      <c r="G26" s="51" t="n"/>
      <c r="H26" s="47" t="inlineStr">
        <is>
          <t>EPROM</t>
        </is>
      </c>
      <c r="I26" s="43" t="inlineStr">
        <is>
          <t>Read/Write</t>
        </is>
      </c>
      <c r="J26" s="43" t="n">
        <v>0</v>
      </c>
      <c r="K26" s="43" t="n">
        <v>254</v>
      </c>
      <c r="L26" s="72" t="inlineStr">
        <is>
          <t>None</t>
        </is>
      </c>
      <c r="M26" s="60" t="inlineStr">
        <is>
          <t>Special function byte. Do not modify unless specifically required. See special byte bit description for details.</t>
        </is>
      </c>
    </row>
    <row r="27" ht="12" customFormat="1" customHeight="1" s="22">
      <c r="A27" s="70">
        <f>DEC2HEX(C27)</f>
        <v/>
      </c>
      <c r="B27" s="70" t="n"/>
      <c r="C27" s="43" t="n">
        <v>19</v>
      </c>
      <c r="D27" s="71">
        <f>CONCATENATE($A$10,A27)</f>
        <v/>
      </c>
      <c r="E27" s="51" t="inlineStr">
        <is>
          <t>Unload Condition</t>
        </is>
      </c>
      <c r="F27" s="43" t="n">
        <v>1</v>
      </c>
      <c r="G27" s="51" t="n">
        <v>44</v>
      </c>
      <c r="H27" s="47" t="inlineStr">
        <is>
          <t>EPROM</t>
        </is>
      </c>
      <c r="I27" s="43" t="inlineStr">
        <is>
          <t>Read/Write</t>
        </is>
      </c>
      <c r="J27" s="43" t="n">
        <v>0</v>
      </c>
      <c r="K27" s="43" t="n">
        <v>254</v>
      </c>
      <c r="L27" s="55" t="inlineStr">
        <is>
          <t>None</t>
        </is>
      </c>
      <c r="M27" s="57" t="inlineStr">
        <is>
          <t>Setting a bit to 1 enables the corresponding protection; 0 disables it. See special byte bit description for details.</t>
        </is>
      </c>
    </row>
    <row r="28" ht="12" customFormat="1" customHeight="1" s="22">
      <c r="A28" s="70">
        <f>DEC2HEX(C28)</f>
        <v/>
      </c>
      <c r="B28" s="70" t="n"/>
      <c r="C28" s="43" t="n">
        <v>20</v>
      </c>
      <c r="D28" s="71">
        <f>CONCATENATE($A$10,A28)</f>
        <v/>
      </c>
      <c r="E28" s="51" t="inlineStr">
        <is>
          <t>LED Alarm Condition</t>
        </is>
      </c>
      <c r="F28" s="43" t="n">
        <v>1</v>
      </c>
      <c r="G28" s="51" t="n">
        <v>47</v>
      </c>
      <c r="H28" s="47" t="inlineStr">
        <is>
          <t>EPROM</t>
        </is>
      </c>
      <c r="I28" s="43" t="inlineStr">
        <is>
          <t>Read/Write</t>
        </is>
      </c>
      <c r="J28" s="43" t="n">
        <v>0</v>
      </c>
      <c r="K28" s="43" t="n">
        <v>254</v>
      </c>
      <c r="L28" s="55" t="inlineStr">
        <is>
          <t>None</t>
        </is>
      </c>
      <c r="M28" s="57" t="inlineStr">
        <is>
          <t>Setting a bit to 1 enables the corresponding LED flash alarm; 0 disables it. See special byte bit description for details.</t>
        </is>
      </c>
    </row>
    <row r="29" ht="12" customFormat="1" customHeight="1" s="22">
      <c r="A29" s="70">
        <f>DEC2HEX(C29)</f>
        <v/>
      </c>
      <c r="B29" s="70" t="n"/>
      <c r="C29" s="43" t="n">
        <v>21</v>
      </c>
      <c r="D29" s="71">
        <f>CONCATENATE($A$10,A29)</f>
        <v/>
      </c>
      <c r="E29" s="51" t="inlineStr">
        <is>
          <t>Position Loop P (Proportional Coefficient)</t>
        </is>
      </c>
      <c r="F29" s="43" t="n">
        <v>1</v>
      </c>
      <c r="G29" s="51" t="n"/>
      <c r="H29" s="47" t="inlineStr">
        <is>
          <t>EPROM</t>
        </is>
      </c>
      <c r="I29" s="43" t="inlineStr">
        <is>
          <t>Read/Write</t>
        </is>
      </c>
      <c r="J29" s="43" t="n">
        <v>0</v>
      </c>
      <c r="K29" s="43" t="n">
        <v>254</v>
      </c>
      <c r="L29" s="55" t="inlineStr">
        <is>
          <t>None</t>
        </is>
      </c>
      <c r="M29" s="56" t="inlineStr">
        <is>
          <t>Proportional coefficient for motor position control.</t>
        </is>
      </c>
    </row>
    <row r="30" ht="12" customFormat="1" customHeight="1" s="22">
      <c r="A30" s="70">
        <f>DEC2HEX(C30)</f>
        <v/>
      </c>
      <c r="B30" s="70" t="n"/>
      <c r="C30" s="43" t="n">
        <v>22</v>
      </c>
      <c r="D30" s="71">
        <f>CONCATENATE($A$10,A30)</f>
        <v/>
      </c>
      <c r="E30" s="51" t="inlineStr">
        <is>
          <t>Position Loop D (Derivative Coefficient)</t>
        </is>
      </c>
      <c r="F30" s="43" t="n">
        <v>1</v>
      </c>
      <c r="G30" s="51" t="n"/>
      <c r="H30" s="47" t="inlineStr">
        <is>
          <t>EPROM</t>
        </is>
      </c>
      <c r="I30" s="43" t="inlineStr">
        <is>
          <t>Read/Write</t>
        </is>
      </c>
      <c r="J30" s="43" t="n">
        <v>0</v>
      </c>
      <c r="K30" s="43" t="n">
        <v>254</v>
      </c>
      <c r="L30" s="55" t="inlineStr">
        <is>
          <t>None</t>
        </is>
      </c>
      <c r="M30" s="56" t="inlineStr">
        <is>
          <t>Derivative coefficient for motor position control.</t>
        </is>
      </c>
    </row>
    <row r="31" ht="12" customFormat="1" customHeight="1" s="22">
      <c r="A31" s="70">
        <f>DEC2HEX(C31)</f>
        <v/>
      </c>
      <c r="B31" s="70" t="n"/>
      <c r="C31" s="43" t="n">
        <v>23</v>
      </c>
      <c r="D31" s="71">
        <f>CONCATENATE($A$10,A31)</f>
        <v/>
      </c>
      <c r="E31" s="51" t="inlineStr">
        <is>
          <t>Position Loop I (Integral Coefficient)</t>
        </is>
      </c>
      <c r="F31" s="43" t="n">
        <v>1</v>
      </c>
      <c r="G31" s="51" t="n"/>
      <c r="H31" s="47" t="inlineStr">
        <is>
          <t>EPROM</t>
        </is>
      </c>
      <c r="I31" s="43" t="inlineStr">
        <is>
          <t>Read/Write</t>
        </is>
      </c>
      <c r="J31" s="43" t="n">
        <v>0</v>
      </c>
      <c r="K31" s="43" t="n">
        <v>254</v>
      </c>
      <c r="L31" s="55" t="inlineStr">
        <is>
          <t>None</t>
        </is>
      </c>
      <c r="M31" s="56" t="inlineStr">
        <is>
          <t>Integral coefficient for motor position control.</t>
        </is>
      </c>
    </row>
    <row r="32" ht="12" customFormat="1" customHeight="1" s="22">
      <c r="A32" s="70">
        <f>DEC2HEX(C32)</f>
        <v/>
      </c>
      <c r="B32" s="70" t="n"/>
      <c r="C32" s="43" t="n">
        <v>24</v>
      </c>
      <c r="D32" s="71">
        <f>CONCATENATE($A$10,A32)</f>
        <v/>
      </c>
      <c r="E32" s="51" t="inlineStr">
        <is>
          <t>Minimum Startup Force</t>
        </is>
      </c>
      <c r="F32" s="43" t="n">
        <v>1</v>
      </c>
      <c r="G32" s="51" t="n"/>
      <c r="H32" s="47" t="inlineStr">
        <is>
          <t>EPROM</t>
        </is>
      </c>
      <c r="I32" s="43" t="inlineStr">
        <is>
          <t>Read/Write</t>
        </is>
      </c>
      <c r="J32" s="43" t="n">
        <v>0</v>
      </c>
      <c r="K32" s="43" t="n">
        <v>254</v>
      </c>
      <c r="L32" s="72" t="n">
        <v>0.001</v>
      </c>
      <c r="M32" s="57" t="inlineStr">
        <is>
          <t>Sets the minimum output startup torque. A value of 10 = 1% of stall torque.</t>
        </is>
      </c>
    </row>
    <row r="33" ht="12" customFormat="1" customHeight="1" s="22">
      <c r="A33" s="70">
        <f>DEC2HEX(C33)</f>
        <v/>
      </c>
      <c r="B33" s="70" t="n"/>
      <c r="C33" s="43" t="n">
        <v>25</v>
      </c>
      <c r="D33" s="71">
        <f>CONCATENATE($A$10,A33)</f>
        <v/>
      </c>
      <c r="E33" s="45" t="inlineStr">
        <is>
          <t>Integral Limit Value</t>
        </is>
      </c>
      <c r="F33" s="43" t="n">
        <v>1</v>
      </c>
      <c r="G33" s="51" t="n"/>
      <c r="H33" s="47" t="inlineStr">
        <is>
          <t>EPROM</t>
        </is>
      </c>
      <c r="I33" s="43" t="inlineStr">
        <is>
          <t>Read/Write</t>
        </is>
      </c>
      <c r="J33" s="43" t="n">
        <v>0</v>
      </c>
      <c r="K33" s="43" t="n">
        <v>254</v>
      </c>
      <c r="L33" s="55" t="inlineStr">
        <is>
          <t>None</t>
        </is>
      </c>
      <c r="M33" s="57" t="inlineStr">
        <is>
          <t>Max integral value = limit × 4. A value of 0 disables the integral limit. Active in position mode (0) and step mode (3).</t>
        </is>
      </c>
    </row>
    <row r="34" ht="12" customFormat="1" customHeight="1" s="22">
      <c r="A34" s="70">
        <f>DEC2HEX(C34)</f>
        <v/>
      </c>
      <c r="B34" s="70" t="n"/>
      <c r="C34" s="43" t="n">
        <v>26</v>
      </c>
      <c r="D34" s="71">
        <f>CONCATENATE($A$10,A34)</f>
        <v/>
      </c>
      <c r="E34" s="51" t="inlineStr">
        <is>
          <t>Clockwise Dead Band</t>
        </is>
      </c>
      <c r="F34" s="43" t="n">
        <v>1</v>
      </c>
      <c r="G34" s="51" t="n">
        <v>1</v>
      </c>
      <c r="H34" s="47" t="inlineStr">
        <is>
          <t>EPROM</t>
        </is>
      </c>
      <c r="I34" s="43" t="inlineStr">
        <is>
          <t>Read/Write</t>
        </is>
      </c>
      <c r="J34" s="43" t="n">
        <v>0</v>
      </c>
      <c r="K34" s="43" t="n">
        <v>32</v>
      </c>
      <c r="L34" s="55" t="inlineStr">
        <is>
          <t>steps</t>
        </is>
      </c>
      <c r="M34" s="56" t="inlineStr">
        <is>
          <t>Minimum unit is one minimum resolution angle.</t>
        </is>
      </c>
    </row>
    <row r="35" ht="12" customFormat="1" customHeight="1" s="22">
      <c r="A35" s="70">
        <f>DEC2HEX(C35)</f>
        <v/>
      </c>
      <c r="B35" s="70" t="n"/>
      <c r="C35" s="43" t="n">
        <v>27</v>
      </c>
      <c r="D35" s="71">
        <f>CONCATENATE($A$10,A35)</f>
        <v/>
      </c>
      <c r="E35" s="51" t="inlineStr">
        <is>
          <t>Counter-Clockwise Dead Band</t>
        </is>
      </c>
      <c r="F35" s="43" t="n">
        <v>1</v>
      </c>
      <c r="G35" s="51" t="n">
        <v>1</v>
      </c>
      <c r="H35" s="47" t="inlineStr">
        <is>
          <t>EPROM</t>
        </is>
      </c>
      <c r="I35" s="43" t="inlineStr">
        <is>
          <t>Read/Write</t>
        </is>
      </c>
      <c r="J35" s="43" t="n">
        <v>0</v>
      </c>
      <c r="K35" s="43" t="n">
        <v>32</v>
      </c>
      <c r="L35" s="55" t="inlineStr">
        <is>
          <t>steps</t>
        </is>
      </c>
      <c r="M35" s="56" t="inlineStr">
        <is>
          <t>Minimum unit is one minimum resolution angle.</t>
        </is>
      </c>
    </row>
    <row r="36" ht="12" customFormat="1" customHeight="1" s="22">
      <c r="A36" s="70">
        <f>DEC2HEX(C36)</f>
        <v/>
      </c>
      <c r="B36" s="70" t="n"/>
      <c r="C36" s="43" t="n">
        <v>28</v>
      </c>
      <c r="D36" s="71">
        <f>CONCATENATE($A$10,A36)</f>
        <v/>
      </c>
      <c r="E36" s="51" t="inlineStr">
        <is>
          <t>Protection Current</t>
        </is>
      </c>
      <c r="F36" s="43" t="n">
        <v>2</v>
      </c>
      <c r="G36" s="51" t="n"/>
      <c r="H36" s="47" t="inlineStr">
        <is>
          <t>EPROM</t>
        </is>
      </c>
      <c r="I36" s="43" t="inlineStr">
        <is>
          <t>Read/Write</t>
        </is>
      </c>
      <c r="J36" s="43" t="n">
        <v>0</v>
      </c>
      <c r="K36" s="43" t="n">
        <v>511</v>
      </c>
      <c r="L36" s="55" t="inlineStr">
        <is>
          <t>6.5mA</t>
        </is>
      </c>
      <c r="M36" s="56" t="inlineStr">
        <is>
          <t>Maximum configurable current: 500 × 6.5mA = 3250mA.</t>
        </is>
      </c>
    </row>
    <row r="37" ht="24" customFormat="1" customHeight="1" s="22">
      <c r="A37" s="70">
        <f>DEC2HEX(C37)</f>
        <v/>
      </c>
      <c r="B37" s="70" t="n"/>
      <c r="C37" s="43" t="n">
        <v>30</v>
      </c>
      <c r="D37" s="71">
        <f>CONCATENATE($A$10,A37)</f>
        <v/>
      </c>
      <c r="E37" s="51" t="inlineStr">
        <is>
          <t>Angle Resolution</t>
        </is>
      </c>
      <c r="F37" s="43" t="n">
        <v>1</v>
      </c>
      <c r="G37" s="51" t="n">
        <v>1</v>
      </c>
      <c r="H37" s="47" t="inlineStr">
        <is>
          <t>EPROM</t>
        </is>
      </c>
      <c r="I37" s="43" t="inlineStr">
        <is>
          <t>Read/Write</t>
        </is>
      </c>
      <c r="J37" s="43" t="n">
        <v>1</v>
      </c>
      <c r="K37" s="43" t="n">
        <v>3</v>
      </c>
      <c r="L37" s="55" t="inlineStr">
        <is>
          <t>None</t>
        </is>
      </c>
      <c r="M37" s="56" t="inlineStr">
        <is>
          <t>Amplification factor for the sensor minimum resolution angle (degrees/step). Increasing this value extends the number of controllable turns.
For multi-turn control, set BIT4 of address 0x12 to 1; position feedback will then reflect the expanded angle range.</t>
        </is>
      </c>
    </row>
    <row r="38" ht="12" customFormat="1" customHeight="1" s="22">
      <c r="A38" s="70">
        <f>DEC2HEX(C38)</f>
        <v/>
      </c>
      <c r="B38" s="70" t="n"/>
      <c r="C38" s="43" t="n">
        <v>31</v>
      </c>
      <c r="D38" s="71">
        <f>CONCATENATE($A$10,A38)</f>
        <v/>
      </c>
      <c r="E38" s="51" t="inlineStr">
        <is>
          <t>Position Correction (Offset)</t>
        </is>
      </c>
      <c r="F38" s="43" t="n">
        <v>2</v>
      </c>
      <c r="G38" s="51" t="n">
        <v>0</v>
      </c>
      <c r="H38" s="47" t="inlineStr">
        <is>
          <t>EPROM</t>
        </is>
      </c>
      <c r="I38" s="43" t="inlineStr">
        <is>
          <t>Read/Write</t>
        </is>
      </c>
      <c r="J38" s="43" t="n">
        <v>-2047</v>
      </c>
      <c r="K38" s="43" t="n">
        <v>2047</v>
      </c>
      <c r="L38" s="55" t="inlineStr">
        <is>
          <t>steps</t>
        </is>
      </c>
      <c r="M38" s="56" t="inlineStr">
        <is>
          <t>BIT11 is the direction bit (positive/negative). The remaining bits represent a range of 0–2047 steps.</t>
        </is>
      </c>
    </row>
    <row r="39" ht="60" customFormat="1" customHeight="1" s="22">
      <c r="A39" s="70">
        <f>DEC2HEX(C39)</f>
        <v/>
      </c>
      <c r="B39" s="70" t="n"/>
      <c r="C39" s="43" t="n">
        <v>33</v>
      </c>
      <c r="D39" s="71">
        <f>CONCATENATE($A$10,A39)</f>
        <v/>
      </c>
      <c r="E39" s="51" t="inlineStr">
        <is>
          <t>Operating Mode</t>
        </is>
      </c>
      <c r="F39" s="43" t="n">
        <v>1</v>
      </c>
      <c r="G39" s="51" t="n">
        <v>0</v>
      </c>
      <c r="H39" s="47" t="inlineStr">
        <is>
          <t>EPROM</t>
        </is>
      </c>
      <c r="I39" s="43" t="inlineStr">
        <is>
          <t>Read/Write</t>
        </is>
      </c>
      <c r="J39" s="43" t="n">
        <v>0</v>
      </c>
      <c r="K39" s="43" t="n">
        <v>3</v>
      </c>
      <c r="L39" s="55" t="inlineStr">
        <is>
          <t>None</t>
        </is>
      </c>
      <c r="M39" s="56" t="inlineStr">
        <is>
          <t>0: Position servo mode.
1: Motor constant speed mode; controlled by 0x2E (Running Speed); BIT15 is direction bit.
2: PWM open-loop speed mode; controlled by 0x2C (Running Time); BIT10 is direction bit.
3: Step servo mode; 0x2A (Goal Position) indicates step count; BIT15 is direction bit.
In mode 3, addresses 0x09 and 0x0B (min/max angle limits) must be set to 0 to allow unlimited stepping.</t>
        </is>
      </c>
    </row>
    <row r="40" ht="12" customFormat="1" customHeight="1" s="22">
      <c r="A40" s="70">
        <f>DEC2HEX(C40)</f>
        <v/>
      </c>
      <c r="B40" s="70" t="n"/>
      <c r="C40" s="43" t="n">
        <v>34</v>
      </c>
      <c r="D40" s="71">
        <f>CONCATENATE($A$10,A40)</f>
        <v/>
      </c>
      <c r="E40" s="51" t="inlineStr">
        <is>
          <t>Protection Torque</t>
        </is>
      </c>
      <c r="F40" s="43" t="n">
        <v>1</v>
      </c>
      <c r="G40" s="51" t="n">
        <v>20</v>
      </c>
      <c r="H40" s="47" t="inlineStr">
        <is>
          <t>EPROM</t>
        </is>
      </c>
      <c r="I40" s="43" t="inlineStr">
        <is>
          <t>Read/Write</t>
        </is>
      </c>
      <c r="J40" s="43" t="n">
        <v>0</v>
      </c>
      <c r="K40" s="43" t="n">
        <v>100</v>
      </c>
      <c r="L40" s="72" t="n">
        <v>0.01</v>
      </c>
      <c r="M40" s="56" t="inlineStr">
        <is>
          <t>Output torque after entering overload protection. E.g., a value of 20 = 20% of maximum torque.</t>
        </is>
      </c>
    </row>
    <row r="41" ht="12" customFormat="1" customHeight="1" s="22">
      <c r="A41" s="70">
        <f>DEC2HEX(C41)</f>
        <v/>
      </c>
      <c r="B41" s="70" t="n"/>
      <c r="C41" s="43" t="n">
        <v>35</v>
      </c>
      <c r="D41" s="71">
        <f>CONCATENATE($A$10,A41)</f>
        <v/>
      </c>
      <c r="E41" s="51" t="inlineStr">
        <is>
          <t>Protection Time</t>
        </is>
      </c>
      <c r="F41" s="43" t="n">
        <v>1</v>
      </c>
      <c r="G41" s="51" t="n">
        <v>200</v>
      </c>
      <c r="H41" s="47" t="inlineStr">
        <is>
          <t>EPROM</t>
        </is>
      </c>
      <c r="I41" s="43" t="inlineStr">
        <is>
          <t>Read/Write</t>
        </is>
      </c>
      <c r="J41" s="43" t="n">
        <v>0</v>
      </c>
      <c r="K41" s="43" t="n">
        <v>254</v>
      </c>
      <c r="L41" s="55" t="inlineStr">
        <is>
          <t>10ms</t>
        </is>
      </c>
      <c r="M41" s="56" t="inlineStr">
        <is>
          <t>Duration the load must exceed the overload torque before protection triggers. E.g., 200 = 2 seconds. Maximum: 2.5 seconds.</t>
        </is>
      </c>
    </row>
    <row r="42" ht="12" customFormat="1" customHeight="1" s="22">
      <c r="A42" s="70">
        <f>DEC2HEX(C42)</f>
        <v/>
      </c>
      <c r="B42" s="70" t="n"/>
      <c r="C42" s="43" t="n">
        <v>36</v>
      </c>
      <c r="D42" s="71">
        <f>CONCATENATE($A$10,A42)</f>
        <v/>
      </c>
      <c r="E42" s="51" t="inlineStr">
        <is>
          <t>Overload Torque</t>
        </is>
      </c>
      <c r="F42" s="43" t="n">
        <v>1</v>
      </c>
      <c r="G42" s="51" t="n">
        <v>80</v>
      </c>
      <c r="H42" s="47" t="inlineStr">
        <is>
          <t>EPROM</t>
        </is>
      </c>
      <c r="I42" s="43" t="inlineStr">
        <is>
          <t>Read/Write</t>
        </is>
      </c>
      <c r="J42" s="43" t="n">
        <v>0</v>
      </c>
      <c r="K42" s="43" t="n">
        <v>100</v>
      </c>
      <c r="L42" s="72" t="n">
        <v>0.01</v>
      </c>
      <c r="M42" s="56" t="inlineStr">
        <is>
          <t>Maximum torque threshold that starts the overload protection timer. E.g., 80 = 80% of maximum torque.</t>
        </is>
      </c>
    </row>
    <row r="43" ht="12" customFormat="1" customHeight="1" s="22">
      <c r="A43" s="70">
        <f>DEC2HEX(C43)</f>
        <v/>
      </c>
      <c r="B43" s="70" t="n"/>
      <c r="C43" s="43" t="n">
        <v>37</v>
      </c>
      <c r="D43" s="71">
        <f>CONCATENATE($A$10,A43)</f>
        <v/>
      </c>
      <c r="E43" s="51" t="inlineStr">
        <is>
          <t>Speed Closed-Loop P (Proportional Coefficient)</t>
        </is>
      </c>
      <c r="F43" s="43" t="n">
        <v>1</v>
      </c>
      <c r="G43" s="51" t="n"/>
      <c r="H43" s="47" t="inlineStr">
        <is>
          <t>EPROM</t>
        </is>
      </c>
      <c r="I43" s="43" t="inlineStr">
        <is>
          <t>Read/Write</t>
        </is>
      </c>
      <c r="J43" s="43" t="n">
        <v>0</v>
      </c>
      <c r="K43" s="43" t="n">
        <v>254</v>
      </c>
      <c r="L43" s="55" t="inlineStr">
        <is>
          <t>None</t>
        </is>
      </c>
      <c r="M43" s="61" t="inlineStr">
        <is>
          <t>Proportional coefficient for the speed loop in motor constant speed mode (Mode 1).</t>
        </is>
      </c>
    </row>
    <row r="44" ht="12" customFormat="1" customHeight="1" s="22">
      <c r="A44" s="70">
        <f>DEC2HEX(C44)</f>
        <v/>
      </c>
      <c r="B44" s="70" t="n"/>
      <c r="C44" s="43" t="n">
        <v>38</v>
      </c>
      <c r="D44" s="71">
        <f>CONCATENATE($A$10,A44)</f>
        <v/>
      </c>
      <c r="E44" s="51" t="inlineStr">
        <is>
          <t>Overcurrent Protection Time</t>
        </is>
      </c>
      <c r="F44" s="43" t="n">
        <v>1</v>
      </c>
      <c r="G44" s="51" t="n">
        <v>200</v>
      </c>
      <c r="H44" s="47" t="inlineStr">
        <is>
          <t>EPROM</t>
        </is>
      </c>
      <c r="I44" s="43" t="inlineStr">
        <is>
          <t>Read/Write</t>
        </is>
      </c>
      <c r="J44" s="43" t="n">
        <v>0</v>
      </c>
      <c r="K44" s="43" t="n">
        <v>254</v>
      </c>
      <c r="L44" s="43" t="inlineStr">
        <is>
          <t>10ms</t>
        </is>
      </c>
      <c r="M44" s="56" t="inlineStr">
        <is>
          <t>Maximum configurable time: 254 × 10ms = 2540ms.</t>
        </is>
      </c>
    </row>
    <row r="45" ht="24" customFormat="1" customHeight="1" s="22">
      <c r="A45" s="70">
        <f>DEC2HEX(C45)</f>
        <v/>
      </c>
      <c r="B45" s="70" t="n"/>
      <c r="C45" s="43" t="n">
        <v>39</v>
      </c>
      <c r="D45" s="71">
        <f>CONCATENATE($A$10,A45)</f>
        <v/>
      </c>
      <c r="E45" s="51" t="inlineStr">
        <is>
          <t>Speed Closed-Loop I (Integral Coefficient)</t>
        </is>
      </c>
      <c r="F45" s="43" t="n">
        <v>1</v>
      </c>
      <c r="G45" s="51" t="n"/>
      <c r="H45" s="47" t="inlineStr">
        <is>
          <t>EPROM</t>
        </is>
      </c>
      <c r="I45" s="43" t="inlineStr">
        <is>
          <t>Read/Write</t>
        </is>
      </c>
      <c r="J45" s="43" t="n">
        <v>0</v>
      </c>
      <c r="K45" s="43" t="n">
        <v>254</v>
      </c>
      <c r="L45" s="65" t="inlineStr">
        <is>
          <t>1/10</t>
        </is>
      </c>
      <c r="M45" s="61" t="inlineStr">
        <is>
          <t>Integral coefficient for the speed loop in motor constant speed mode (Mode 1).
(Change note: Speed closed-loop I coefficient reduced by a factor of 10 vs. firmware v3.6.)</t>
        </is>
      </c>
    </row>
    <row r="46" ht="12" customFormat="1" customHeight="1" s="22">
      <c r="A46" s="70">
        <f>DEC2HEX(C46)</f>
        <v/>
      </c>
      <c r="B46" s="70" t="n"/>
      <c r="C46" s="43" t="n">
        <v>40</v>
      </c>
      <c r="D46" s="71" t="inlineStr">
        <is>
          <t>0x28</t>
        </is>
      </c>
      <c r="E46" s="51" t="inlineStr">
        <is>
          <t>Torque Enable</t>
        </is>
      </c>
      <c r="F46" s="43" t="n">
        <v>1</v>
      </c>
      <c r="G46" s="51" t="n">
        <v>0</v>
      </c>
      <c r="H46" s="43" t="inlineStr">
        <is>
          <t>SRAM</t>
        </is>
      </c>
      <c r="I46" s="43" t="inlineStr">
        <is>
          <t>Read/Write</t>
        </is>
      </c>
      <c r="J46" s="43" t="n">
        <v>0</v>
      </c>
      <c r="K46" s="43" t="n">
        <v>128</v>
      </c>
      <c r="L46" s="55" t="inlineStr">
        <is>
          <t>None</t>
        </is>
      </c>
      <c r="M46" s="56" t="inlineStr">
        <is>
          <t>Write 0: Disable torque output.  Write 1: Enable torque output.  Write 128: Calibrate current position to 2048.</t>
        </is>
      </c>
    </row>
    <row r="47" ht="12" customFormat="1" customHeight="1" s="22">
      <c r="A47" s="70">
        <f>DEC2HEX(C47)</f>
        <v/>
      </c>
      <c r="B47" s="70" t="n"/>
      <c r="C47" s="43" t="n">
        <v>41</v>
      </c>
      <c r="D47" s="71">
        <f>CONCATENATE($A$10,A47)</f>
        <v/>
      </c>
      <c r="E47" s="51" t="inlineStr">
        <is>
          <t>Acceleration</t>
        </is>
      </c>
      <c r="F47" s="43" t="n">
        <v>1</v>
      </c>
      <c r="G47" s="51" t="n">
        <v>0</v>
      </c>
      <c r="H47" s="43" t="inlineStr">
        <is>
          <t>SRAM</t>
        </is>
      </c>
      <c r="I47" s="43" t="inlineStr">
        <is>
          <t>Read/Write</t>
        </is>
      </c>
      <c r="J47" s="43" t="n">
        <v>0</v>
      </c>
      <c r="K47" s="43" t="n">
        <v>254</v>
      </c>
      <c r="L47" s="55" t="inlineStr">
        <is>
          <t>100 steps/s²</t>
        </is>
      </c>
      <c r="M47" s="61" t="inlineStr">
        <is>
          <t>E.g., a value of 10 = 1000 steps/s² acceleration/deceleration.</t>
        </is>
      </c>
    </row>
    <row r="48" ht="12" customFormat="1" customHeight="1" s="22">
      <c r="A48" s="70">
        <f>DEC2HEX(C48)</f>
        <v/>
      </c>
      <c r="B48" s="70" t="n"/>
      <c r="C48" s="43" t="n">
        <v>42</v>
      </c>
      <c r="D48" s="71">
        <f>CONCATENATE($A$10,A48)</f>
        <v/>
      </c>
      <c r="E48" s="51" t="inlineStr">
        <is>
          <t>Goal Position</t>
        </is>
      </c>
      <c r="F48" s="43" t="n">
        <v>2</v>
      </c>
      <c r="G48" s="51" t="n">
        <v>0</v>
      </c>
      <c r="H48" s="43" t="inlineStr">
        <is>
          <t>SRAM</t>
        </is>
      </c>
      <c r="I48" s="43" t="inlineStr">
        <is>
          <t>Read/Write</t>
        </is>
      </c>
      <c r="J48" s="43" t="n">
        <v>-32766</v>
      </c>
      <c r="K48" s="43" t="n">
        <v>32766</v>
      </c>
      <c r="L48" s="55" t="inlineStr">
        <is>
          <t>steps</t>
        </is>
      </c>
      <c r="M48" s="63" t="inlineStr">
        <is>
          <t>Each step is one minimum resolution angle. Absolute position control; maximum value corresponds to the maximum effective angle.</t>
        </is>
      </c>
    </row>
    <row r="49" ht="12" customFormat="1" customHeight="1" s="22">
      <c r="A49" s="70">
        <f>DEC2HEX(C49)</f>
        <v/>
      </c>
      <c r="B49" s="70" t="n"/>
      <c r="C49" s="43" t="n">
        <v>44</v>
      </c>
      <c r="D49" s="71">
        <f>CONCATENATE($A$10,A49)</f>
        <v/>
      </c>
      <c r="E49" s="51" t="inlineStr">
        <is>
          <t>Running Time</t>
        </is>
      </c>
      <c r="F49" s="43" t="n">
        <v>2</v>
      </c>
      <c r="G49" s="51" t="n">
        <v>0</v>
      </c>
      <c r="H49" s="43" t="inlineStr">
        <is>
          <t>SRAM</t>
        </is>
      </c>
      <c r="I49" s="43" t="inlineStr">
        <is>
          <t>Read/Write</t>
        </is>
      </c>
      <c r="J49" s="43" t="n">
        <v>0</v>
      </c>
      <c r="K49" s="43" t="n">
        <v>1000</v>
      </c>
      <c r="L49" s="58" t="n">
        <v>0.001</v>
      </c>
      <c r="M49" s="63" t="inlineStr">
        <is>
          <t>In PWM open-loop speed mode, valid range is 50–1000. BIT10 is the direction bit.</t>
        </is>
      </c>
    </row>
    <row r="50" ht="12" customFormat="1" customHeight="1" s="22">
      <c r="A50" s="70">
        <f>DEC2HEX(C50)</f>
        <v/>
      </c>
      <c r="B50" s="70" t="n"/>
      <c r="C50" s="43" t="n">
        <v>46</v>
      </c>
      <c r="D50" s="71">
        <f>CONCATENATE($A$10,A50)</f>
        <v/>
      </c>
      <c r="E50" s="51" t="inlineStr">
        <is>
          <t>Running Speed</t>
        </is>
      </c>
      <c r="F50" s="43" t="n">
        <v>2</v>
      </c>
      <c r="G50" s="51" t="n">
        <v>0</v>
      </c>
      <c r="H50" s="43" t="inlineStr">
        <is>
          <t>SRAM</t>
        </is>
      </c>
      <c r="I50" s="43" t="inlineStr">
        <is>
          <t>Read/Write</t>
        </is>
      </c>
      <c r="J50" s="43" t="n">
        <v>-32766</v>
      </c>
      <c r="K50" s="43" t="n">
        <v>32766</v>
      </c>
      <c r="L50" s="2" t="inlineStr">
        <is>
          <t>steps/s</t>
        </is>
      </c>
      <c r="M50" s="56" t="inlineStr">
        <is>
          <t>Number of steps moved per second. 50 steps/sec = 0.732 RPM.</t>
        </is>
      </c>
    </row>
    <row r="51" ht="24" customFormat="1" customHeight="1" s="22">
      <c r="A51" s="70">
        <f>DEC2HEX(C51)</f>
        <v/>
      </c>
      <c r="B51" s="70" t="n"/>
      <c r="C51" s="43" t="n">
        <v>48</v>
      </c>
      <c r="D51" s="71">
        <f>CONCATENATE($A$10,A51)</f>
        <v/>
      </c>
      <c r="E51" s="51" t="inlineStr">
        <is>
          <t>Torque Limit</t>
        </is>
      </c>
      <c r="F51" s="43" t="n">
        <v>2</v>
      </c>
      <c r="G51" s="51" t="n">
        <v>1000</v>
      </c>
      <c r="H51" s="43" t="inlineStr">
        <is>
          <t>SRAM</t>
        </is>
      </c>
      <c r="I51" s="43" t="inlineStr">
        <is>
          <t>Read/Write</t>
        </is>
      </c>
      <c r="J51" s="43" t="n">
        <v>0</v>
      </c>
      <c r="K51" s="43" t="n">
        <v>1000</v>
      </c>
      <c r="L51" s="72" t="n">
        <v>0.01</v>
      </c>
      <c r="M51" s="56" t="inlineStr">
        <is>
          <t>Initialized on power-up from Maximum Torque (0x10). Can be modified at runtime to dynamically limit torque output.</t>
        </is>
      </c>
    </row>
    <row r="52" customFormat="1" s="52">
      <c r="A52" s="70" t="inlineStr">
        <is>
          <t>31</t>
        </is>
      </c>
      <c r="B52" s="73" t="n"/>
      <c r="C52" s="43" t="n">
        <v>49</v>
      </c>
      <c r="D52" s="71" t="inlineStr">
        <is>
          <t>0x31</t>
        </is>
      </c>
      <c r="E52" s="51" t="inlineStr">
        <is>
          <t>Undefined</t>
        </is>
      </c>
      <c r="F52" s="43" t="n">
        <v>1</v>
      </c>
      <c r="G52" s="51" t="n"/>
      <c r="H52" s="43" t="inlineStr">
        <is>
          <t>SRAM</t>
        </is>
      </c>
      <c r="I52" s="55" t="inlineStr">
        <is>
          <t>None</t>
        </is>
      </c>
      <c r="J52" s="43" t="n"/>
      <c r="K52" s="43" t="n"/>
      <c r="L52" s="55" t="n"/>
      <c r="M52" s="56" t="n"/>
    </row>
    <row r="53" customFormat="1" s="52">
      <c r="A53" s="70" t="inlineStr">
        <is>
          <t>32</t>
        </is>
      </c>
      <c r="B53" s="73" t="n"/>
      <c r="C53" s="43" t="n">
        <v>50</v>
      </c>
      <c r="D53" s="71" t="inlineStr">
        <is>
          <t>0x32</t>
        </is>
      </c>
      <c r="E53" s="51" t="inlineStr">
        <is>
          <t>Undefined</t>
        </is>
      </c>
      <c r="F53" s="43" t="n">
        <v>1</v>
      </c>
      <c r="G53" s="51" t="n"/>
      <c r="H53" s="43" t="inlineStr">
        <is>
          <t>SRAM</t>
        </is>
      </c>
      <c r="I53" s="55" t="inlineStr">
        <is>
          <t>None</t>
        </is>
      </c>
      <c r="J53" s="43" t="n"/>
      <c r="K53" s="43" t="n"/>
      <c r="L53" s="55" t="n"/>
      <c r="M53" s="56" t="n"/>
    </row>
    <row r="54" customFormat="1" s="52">
      <c r="A54" s="70" t="inlineStr">
        <is>
          <t>33</t>
        </is>
      </c>
      <c r="B54" s="73" t="n"/>
      <c r="C54" s="43" t="n">
        <v>51</v>
      </c>
      <c r="D54" s="71" t="inlineStr">
        <is>
          <t>0x33</t>
        </is>
      </c>
      <c r="E54" s="51" t="inlineStr">
        <is>
          <t>Undefined</t>
        </is>
      </c>
      <c r="F54" s="43" t="n">
        <v>1</v>
      </c>
      <c r="G54" s="51" t="n"/>
      <c r="H54" s="43" t="inlineStr">
        <is>
          <t>SRAM</t>
        </is>
      </c>
      <c r="I54" s="55" t="inlineStr">
        <is>
          <t>None</t>
        </is>
      </c>
      <c r="J54" s="43" t="n"/>
      <c r="K54" s="43" t="n"/>
      <c r="L54" s="55" t="n"/>
      <c r="M54" s="56" t="n"/>
    </row>
    <row r="55" customFormat="1" s="52">
      <c r="A55" s="70" t="inlineStr">
        <is>
          <t>34</t>
        </is>
      </c>
      <c r="B55" s="73" t="n"/>
      <c r="C55" s="43" t="n">
        <v>52</v>
      </c>
      <c r="D55" s="71" t="inlineStr">
        <is>
          <t>0x34</t>
        </is>
      </c>
      <c r="E55" s="51" t="inlineStr">
        <is>
          <t>Undefined</t>
        </is>
      </c>
      <c r="F55" s="43" t="n">
        <v>1</v>
      </c>
      <c r="G55" s="51" t="n"/>
      <c r="H55" s="43" t="inlineStr">
        <is>
          <t>SRAM</t>
        </is>
      </c>
      <c r="I55" s="55" t="inlineStr">
        <is>
          <t>None</t>
        </is>
      </c>
      <c r="J55" s="43" t="n"/>
      <c r="K55" s="43" t="n"/>
      <c r="L55" s="55" t="n"/>
      <c r="M55" s="56" t="n"/>
    </row>
    <row r="56" customFormat="1" s="52">
      <c r="A56" s="70" t="inlineStr">
        <is>
          <t>35</t>
        </is>
      </c>
      <c r="B56" s="73" t="n"/>
      <c r="C56" s="43" t="n">
        <v>53</v>
      </c>
      <c r="D56" s="71" t="inlineStr">
        <is>
          <t>0x35</t>
        </is>
      </c>
      <c r="E56" s="51" t="inlineStr">
        <is>
          <t>Undefined</t>
        </is>
      </c>
      <c r="F56" s="43" t="n">
        <v>1</v>
      </c>
      <c r="G56" s="51" t="n"/>
      <c r="H56" s="43" t="inlineStr">
        <is>
          <t>SRAM</t>
        </is>
      </c>
      <c r="I56" s="55" t="inlineStr">
        <is>
          <t>None</t>
        </is>
      </c>
      <c r="J56" s="43" t="n"/>
      <c r="K56" s="43" t="n"/>
      <c r="L56" s="55" t="n"/>
      <c r="M56" s="56" t="n"/>
    </row>
    <row r="57" customFormat="1" s="52">
      <c r="A57" s="70" t="inlineStr">
        <is>
          <t>36</t>
        </is>
      </c>
      <c r="B57" s="73" t="n"/>
      <c r="C57" s="43" t="n">
        <v>54</v>
      </c>
      <c r="D57" s="71" t="inlineStr">
        <is>
          <t>0x36</t>
        </is>
      </c>
      <c r="E57" s="51" t="inlineStr">
        <is>
          <t>Undefined</t>
        </is>
      </c>
      <c r="F57" s="43" t="n">
        <v>1</v>
      </c>
      <c r="G57" s="51" t="n"/>
      <c r="H57" s="43" t="inlineStr">
        <is>
          <t>SRAM</t>
        </is>
      </c>
      <c r="I57" s="55" t="inlineStr">
        <is>
          <t>None</t>
        </is>
      </c>
      <c r="J57" s="43" t="n"/>
      <c r="K57" s="43" t="n"/>
      <c r="L57" s="55" t="n"/>
      <c r="M57" s="56" t="n"/>
    </row>
    <row r="58" ht="24" customFormat="1" customHeight="1" s="22">
      <c r="A58" s="70">
        <f>DEC2HEX(C58)</f>
        <v/>
      </c>
      <c r="B58" s="70" t="n"/>
      <c r="C58" s="43" t="n">
        <v>55</v>
      </c>
      <c r="D58" s="71">
        <f>CONCATENATE($A$10,A58)</f>
        <v/>
      </c>
      <c r="E58" s="51" t="inlineStr">
        <is>
          <t>Lock Flag</t>
        </is>
      </c>
      <c r="F58" s="43" t="n">
        <v>1</v>
      </c>
      <c r="G58" s="51" t="n">
        <v>0</v>
      </c>
      <c r="H58" s="43" t="inlineStr">
        <is>
          <t>SRAM</t>
        </is>
      </c>
      <c r="I58" s="43" t="inlineStr">
        <is>
          <t>Read/Write</t>
        </is>
      </c>
      <c r="J58" s="43" t="n">
        <v>0</v>
      </c>
      <c r="K58" s="43" t="n">
        <v>1</v>
      </c>
      <c r="L58" s="55" t="inlineStr">
        <is>
          <t>None</t>
        </is>
      </c>
      <c r="M58" s="56" t="inlineStr">
        <is>
          <t>Write 0: Unlock — values written to EPROM addresses are saved on power-off.
Write 1: Lock — values written to EPROM addresses are NOT saved on power-off.</t>
        </is>
      </c>
    </row>
    <row r="59" ht="24" customFormat="1" customHeight="1" s="22">
      <c r="A59" s="70">
        <f>DEC2HEX(C59)</f>
        <v/>
      </c>
      <c r="B59" s="70" t="n"/>
      <c r="C59" s="43" t="n">
        <v>56</v>
      </c>
      <c r="D59" s="71">
        <f>CONCATENATE($A$10,A59)</f>
        <v/>
      </c>
      <c r="E59" s="51" t="inlineStr">
        <is>
          <t>Present Position</t>
        </is>
      </c>
      <c r="F59" s="43" t="n">
        <v>2</v>
      </c>
      <c r="G59" s="51" t="n">
        <v>0</v>
      </c>
      <c r="H59" s="43" t="inlineStr">
        <is>
          <t>SRAM</t>
        </is>
      </c>
      <c r="I59" s="43" t="inlineStr">
        <is>
          <t>Read Only</t>
        </is>
      </c>
      <c r="J59" s="64" t="inlineStr">
        <is>
          <t>--</t>
        </is>
      </c>
      <c r="K59" s="64" t="inlineStr">
        <is>
          <t>--</t>
        </is>
      </c>
      <c r="L59" s="55" t="inlineStr">
        <is>
          <t>steps</t>
        </is>
      </c>
      <c r="M59" s="56" t="inlineStr">
        <is>
          <t>Feedback of current position in steps. Each step is one minimum resolution angle. Absolute position control; maximum value corresponds to the maximum effective angle.</t>
        </is>
      </c>
    </row>
    <row r="60" ht="12" customFormat="1" customHeight="1" s="22">
      <c r="A60" s="70">
        <f>DEC2HEX(C60)</f>
        <v/>
      </c>
      <c r="B60" s="70" t="n"/>
      <c r="C60" s="43" t="n">
        <v>58</v>
      </c>
      <c r="D60" s="71">
        <f>CONCATENATE($A$10,A60)</f>
        <v/>
      </c>
      <c r="E60" s="51" t="inlineStr">
        <is>
          <t>Present Speed</t>
        </is>
      </c>
      <c r="F60" s="43" t="n">
        <v>2</v>
      </c>
      <c r="G60" s="51" t="n">
        <v>0</v>
      </c>
      <c r="H60" s="43" t="inlineStr">
        <is>
          <t>SRAM</t>
        </is>
      </c>
      <c r="I60" s="43" t="inlineStr">
        <is>
          <t>Read Only</t>
        </is>
      </c>
      <c r="J60" s="64" t="inlineStr">
        <is>
          <t>--</t>
        </is>
      </c>
      <c r="K60" s="64" t="inlineStr">
        <is>
          <t>--</t>
        </is>
      </c>
      <c r="L60" s="2" t="inlineStr">
        <is>
          <t>steps/s</t>
        </is>
      </c>
      <c r="M60" s="56" t="inlineStr">
        <is>
          <t>Feedback of current motor rotation speed in steps per second.</t>
        </is>
      </c>
    </row>
    <row r="61" ht="12" customFormat="1" customHeight="1" s="22">
      <c r="A61" s="70">
        <f>DEC2HEX(C61)</f>
        <v/>
      </c>
      <c r="B61" s="70" t="n"/>
      <c r="C61" s="43" t="n">
        <v>60</v>
      </c>
      <c r="D61" s="71">
        <f>CONCATENATE($A$10,A61)</f>
        <v/>
      </c>
      <c r="E61" s="51" t="inlineStr">
        <is>
          <t>Present Load</t>
        </is>
      </c>
      <c r="F61" s="43" t="n">
        <v>2</v>
      </c>
      <c r="G61" s="51" t="n">
        <v>0</v>
      </c>
      <c r="H61" s="43" t="inlineStr">
        <is>
          <t>SRAM</t>
        </is>
      </c>
      <c r="I61" s="43" t="inlineStr">
        <is>
          <t>Read Only</t>
        </is>
      </c>
      <c r="J61" s="64" t="inlineStr">
        <is>
          <t>--</t>
        </is>
      </c>
      <c r="K61" s="64" t="inlineStr">
        <is>
          <t>--</t>
        </is>
      </c>
      <c r="L61" s="72" t="n">
        <v>0.001</v>
      </c>
      <c r="M61" s="56" t="inlineStr">
        <is>
          <t>Current PWM duty cycle driving the motor output.</t>
        </is>
      </c>
    </row>
    <row r="62" ht="12" customFormat="1" customHeight="1" s="22">
      <c r="A62" s="70">
        <f>DEC2HEX(C62)</f>
        <v/>
      </c>
      <c r="B62" s="70" t="n"/>
      <c r="C62" s="43" t="n">
        <v>62</v>
      </c>
      <c r="D62" s="71">
        <f>CONCATENATE($A$10,A62)</f>
        <v/>
      </c>
      <c r="E62" s="51" t="inlineStr">
        <is>
          <t>Present Voltage</t>
        </is>
      </c>
      <c r="F62" s="43" t="n">
        <v>1</v>
      </c>
      <c r="G62" s="51" t="n">
        <v>0</v>
      </c>
      <c r="H62" s="43" t="inlineStr">
        <is>
          <t>SRAM</t>
        </is>
      </c>
      <c r="I62" s="43" t="inlineStr">
        <is>
          <t>Read Only</t>
        </is>
      </c>
      <c r="J62" s="64" t="inlineStr">
        <is>
          <t>--</t>
        </is>
      </c>
      <c r="K62" s="64" t="inlineStr">
        <is>
          <t>--</t>
        </is>
      </c>
      <c r="L62" s="55" t="inlineStr">
        <is>
          <t>0.1V</t>
        </is>
      </c>
      <c r="M62" s="56" t="inlineStr">
        <is>
          <t>Current operating voltage of the servo.</t>
        </is>
      </c>
    </row>
    <row r="63" ht="12" customFormat="1" customHeight="1" s="22">
      <c r="A63" s="70">
        <f>DEC2HEX(C63)</f>
        <v/>
      </c>
      <c r="B63" s="70" t="n"/>
      <c r="C63" s="43" t="n">
        <v>63</v>
      </c>
      <c r="D63" s="71">
        <f>CONCATENATE($A$10,A63)</f>
        <v/>
      </c>
      <c r="E63" s="51" t="inlineStr">
        <is>
          <t>Present Temperature</t>
        </is>
      </c>
      <c r="F63" s="43" t="n">
        <v>1</v>
      </c>
      <c r="G63" s="51" t="n">
        <v>0</v>
      </c>
      <c r="H63" s="43" t="inlineStr">
        <is>
          <t>SRAM</t>
        </is>
      </c>
      <c r="I63" s="43" t="inlineStr">
        <is>
          <t>Read Only</t>
        </is>
      </c>
      <c r="J63" s="64" t="inlineStr">
        <is>
          <t>--</t>
        </is>
      </c>
      <c r="K63" s="64" t="inlineStr">
        <is>
          <t>--</t>
        </is>
      </c>
      <c r="L63" s="55" t="inlineStr">
        <is>
          <t>°C</t>
        </is>
      </c>
      <c r="M63" s="56" t="inlineStr">
        <is>
          <t>Current internal operating temperature of the servo.</t>
        </is>
      </c>
    </row>
    <row r="64" ht="12" customFormat="1" customHeight="1" s="22">
      <c r="A64" s="70">
        <f>DEC2HEX(C64)</f>
        <v/>
      </c>
      <c r="B64" s="70" t="n"/>
      <c r="C64" s="43" t="n">
        <v>64</v>
      </c>
      <c r="D64" s="71">
        <f>CONCATENATE($A$10,A64)</f>
        <v/>
      </c>
      <c r="E64" s="51" t="inlineStr">
        <is>
          <t>Async Write Flag</t>
        </is>
      </c>
      <c r="F64" s="43" t="n">
        <v>1</v>
      </c>
      <c r="G64" s="51" t="n">
        <v>0</v>
      </c>
      <c r="H64" s="43" t="inlineStr">
        <is>
          <t>SRAM</t>
        </is>
      </c>
      <c r="I64" s="43" t="inlineStr">
        <is>
          <t>Read Only</t>
        </is>
      </c>
      <c r="J64" s="64" t="inlineStr">
        <is>
          <t>--</t>
        </is>
      </c>
      <c r="K64" s="64" t="inlineStr">
        <is>
          <t>--</t>
        </is>
      </c>
      <c r="L64" s="55" t="inlineStr">
        <is>
          <t>None</t>
        </is>
      </c>
      <c r="M64" s="56" t="inlineStr">
        <is>
          <t>Status flag set when an asynchronous write (REGWRITE) instruction is pending.</t>
        </is>
      </c>
    </row>
    <row r="65" ht="12" customFormat="1" customHeight="1" s="22">
      <c r="A65" s="70">
        <f>DEC2HEX(C65)</f>
        <v/>
      </c>
      <c r="B65" s="70" t="n"/>
      <c r="C65" s="43" t="n">
        <v>65</v>
      </c>
      <c r="D65" s="71">
        <f>CONCATENATE($A$10,A65)</f>
        <v/>
      </c>
      <c r="E65" s="51" t="inlineStr">
        <is>
          <t>Servo Status</t>
        </is>
      </c>
      <c r="F65" s="43" t="n">
        <v>1</v>
      </c>
      <c r="G65" s="51" t="n">
        <v>0</v>
      </c>
      <c r="H65" s="43" t="inlineStr">
        <is>
          <t>SRAM</t>
        </is>
      </c>
      <c r="I65" s="43" t="inlineStr">
        <is>
          <t>Read Only</t>
        </is>
      </c>
      <c r="J65" s="64" t="inlineStr">
        <is>
          <t>--</t>
        </is>
      </c>
      <c r="K65" s="64" t="inlineStr">
        <is>
          <t>--</t>
        </is>
      </c>
      <c r="L65" s="55" t="inlineStr">
        <is>
          <t>None</t>
        </is>
      </c>
      <c r="M65" s="57" t="inlineStr">
        <is>
          <t>A bit set to 1 indicates the corresponding error is active; 0 means no error. See special byte bit description for details.</t>
        </is>
      </c>
    </row>
    <row r="66" ht="12" customFormat="1" customHeight="1" s="22">
      <c r="A66" s="70">
        <f>DEC2HEX(C66)</f>
        <v/>
      </c>
      <c r="B66" s="70" t="n"/>
      <c r="C66" s="43" t="n">
        <v>66</v>
      </c>
      <c r="D66" s="71">
        <f>CONCATENATE($A$10,A66)</f>
        <v/>
      </c>
      <c r="E66" s="51" t="inlineStr">
        <is>
          <t>Moving Flag</t>
        </is>
      </c>
      <c r="F66" s="43" t="n">
        <v>1</v>
      </c>
      <c r="G66" s="51" t="n">
        <v>0</v>
      </c>
      <c r="H66" s="43" t="inlineStr">
        <is>
          <t>SRAM</t>
        </is>
      </c>
      <c r="I66" s="43" t="inlineStr">
        <is>
          <t>Read Only</t>
        </is>
      </c>
      <c r="J66" s="64" t="inlineStr">
        <is>
          <t>--</t>
        </is>
      </c>
      <c r="K66" s="64" t="inlineStr">
        <is>
          <t>--</t>
        </is>
      </c>
      <c r="L66" s="55" t="inlineStr">
        <is>
          <t>None</t>
        </is>
      </c>
      <c r="M66" s="56" t="inlineStr">
        <is>
          <t>Set to 1 while the servo is moving; 0 when stopped.</t>
        </is>
      </c>
    </row>
    <row r="67" ht="12" customFormat="1" customHeight="1" s="22">
      <c r="A67" s="70">
        <f>DEC2HEX(C67)</f>
        <v/>
      </c>
      <c r="B67" s="70" t="n"/>
      <c r="C67" s="43" t="n">
        <v>67</v>
      </c>
      <c r="D67" s="71">
        <f>CONCATENATE($A$10,A67)</f>
        <v/>
      </c>
      <c r="E67" s="45" t="inlineStr">
        <is>
          <t>Undefined</t>
        </is>
      </c>
      <c r="F67" s="43" t="n">
        <v>2</v>
      </c>
      <c r="G67" s="51" t="n">
        <v>0</v>
      </c>
      <c r="H67" s="43" t="inlineStr">
        <is>
          <t>SRAM</t>
        </is>
      </c>
      <c r="I67" s="43" t="inlineStr">
        <is>
          <t>Read Only</t>
        </is>
      </c>
      <c r="J67" s="64" t="inlineStr">
        <is>
          <t>--</t>
        </is>
      </c>
      <c r="K67" s="64" t="inlineStr">
        <is>
          <t>--</t>
        </is>
      </c>
      <c r="L67" s="55" t="n"/>
      <c r="M67" s="56" t="n"/>
    </row>
    <row r="68" ht="12" customFormat="1" customHeight="1" s="22">
      <c r="A68" s="70">
        <f>DEC2HEX(C68)</f>
        <v/>
      </c>
      <c r="B68" s="70" t="n"/>
      <c r="C68" s="43" t="n">
        <v>69</v>
      </c>
      <c r="D68" s="71">
        <f>CONCATENATE($A$10,A68)</f>
        <v/>
      </c>
      <c r="E68" s="51" t="inlineStr">
        <is>
          <t>Present Current</t>
        </is>
      </c>
      <c r="F68" s="43" t="n">
        <v>2</v>
      </c>
      <c r="G68" s="51" t="n">
        <v>0</v>
      </c>
      <c r="H68" s="43" t="inlineStr">
        <is>
          <t>SRAM</t>
        </is>
      </c>
      <c r="I68" s="43" t="inlineStr">
        <is>
          <t>Read Only</t>
        </is>
      </c>
      <c r="J68" s="64" t="inlineStr">
        <is>
          <t>--</t>
        </is>
      </c>
      <c r="K68" s="64" t="inlineStr">
        <is>
          <t>--</t>
        </is>
      </c>
      <c r="L68" s="55" t="inlineStr">
        <is>
          <t>6.5mA</t>
        </is>
      </c>
      <c r="M68" s="56" t="inlineStr">
        <is>
          <t>Maximum measurable current: 500 × 6.5mA = 3250mA.</t>
        </is>
      </c>
    </row>
  </sheetData>
  <sheetProtection selectLockedCells="0" selectUnlockedCells="0" sheet="1" objects="1" insertRows="1" insertHyperlinks="1" autoFilter="0" scenarios="0" formatColumns="0" deleteColumns="1" insertColumns="1" pivotTables="1" deleteRows="1" formatCells="0" formatRows="1" sort="1" password="CD43"/>
  <mergeCells count="14">
    <mergeCell ref="D8:E8"/>
    <mergeCell ref="D6:E6"/>
    <mergeCell ref="D7:E7"/>
    <mergeCell ref="D1:K1"/>
    <mergeCell ref="D5:E5"/>
    <mergeCell ref="H4:J4"/>
    <mergeCell ref="H8:J8"/>
    <mergeCell ref="C2:M2"/>
    <mergeCell ref="D4:E4"/>
    <mergeCell ref="C9:D9"/>
    <mergeCell ref="H3:J3"/>
    <mergeCell ref="D3:E3"/>
    <mergeCell ref="H7:J7"/>
    <mergeCell ref="H6:J6"/>
  </mergeCells>
  <pageMargins left="0.275590551181102" right="0.236220472440945" top="0.236220472440945" bottom="0.15748031496063" header="0.15748031496063" footer="0.15748031496063"/>
  <pageSetup orientation="landscape" paperSize="9" scale="93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G6" sqref="G6"/>
    </sheetView>
  </sheetViews>
  <sheetFormatPr baseColWidth="8" defaultColWidth="9" defaultRowHeight="12"/>
  <cols>
    <col width="9" customWidth="1" style="22" min="1" max="1"/>
    <col width="16.3333333333333" customWidth="1" style="22" min="2" max="3"/>
    <col width="20.2222222222222" customWidth="1" style="22" min="4" max="4"/>
    <col width="16.3333333333333" customWidth="1" style="22" min="5" max="9"/>
    <col width="9" customWidth="1" style="22" min="10" max="16384"/>
  </cols>
  <sheetData>
    <row r="1" ht="14.25" customHeight="1" s="66"/>
    <row r="2" ht="14.25" customHeight="1" s="66">
      <c r="A2" s="3" t="inlineStr">
        <is>
          <t>Phase</t>
        </is>
      </c>
      <c r="B2" s="74" t="n"/>
      <c r="C2" s="74" t="n"/>
      <c r="D2" s="74" t="n"/>
      <c r="E2" s="74" t="n"/>
      <c r="F2" s="74" t="n"/>
      <c r="G2" s="74" t="n"/>
      <c r="H2" s="74" t="n"/>
      <c r="I2" s="75" t="n"/>
    </row>
    <row r="3" ht="14.25" customHeight="1" s="66">
      <c r="A3" s="4" t="inlineStr">
        <is>
          <t>Bit Position</t>
        </is>
      </c>
      <c r="B3" s="4" t="inlineStr">
        <is>
          <t>BIT7</t>
        </is>
      </c>
      <c r="C3" s="4" t="inlineStr">
        <is>
          <t>BIT6</t>
        </is>
      </c>
      <c r="D3" s="4" t="inlineStr">
        <is>
          <t>BIT5</t>
        </is>
      </c>
      <c r="E3" s="4" t="inlineStr">
        <is>
          <t>BIT4</t>
        </is>
      </c>
      <c r="F3" s="4" t="inlineStr">
        <is>
          <t>BIT3</t>
        </is>
      </c>
      <c r="G3" s="4" t="inlineStr">
        <is>
          <t>BIT2</t>
        </is>
      </c>
      <c r="H3" s="4" t="inlineStr">
        <is>
          <t>BIT1</t>
        </is>
      </c>
      <c r="I3" s="4" t="inlineStr">
        <is>
          <t>BIT0</t>
        </is>
      </c>
    </row>
    <row r="4" ht="14.25" customHeight="1" s="66">
      <c r="A4" s="4" t="inlineStr">
        <is>
          <t>Bit Weight</t>
        </is>
      </c>
      <c r="B4" s="4" t="n">
        <v>128</v>
      </c>
      <c r="C4" s="4" t="n">
        <v>64</v>
      </c>
      <c r="D4" s="4" t="n">
        <v>32</v>
      </c>
      <c r="E4" s="4" t="n">
        <v>16</v>
      </c>
      <c r="F4" s="4" t="n">
        <v>8</v>
      </c>
      <c r="G4" s="4" t="n">
        <v>4</v>
      </c>
      <c r="H4" s="4" t="n">
        <v>2</v>
      </c>
      <c r="I4" s="4" t="n">
        <v>1</v>
      </c>
    </row>
    <row r="5" ht="14.25" customHeight="1" s="66">
      <c r="A5" s="4" t="inlineStr">
        <is>
          <t>Address 0x12 (Phase)</t>
        </is>
      </c>
      <c r="B5" s="6" t="inlineStr">
        <is>
          <t>Servo Direction</t>
        </is>
      </c>
      <c r="C5" s="6" t="inlineStr">
        <is>
          <t>PWM Mode</t>
        </is>
      </c>
      <c r="D5" s="6" t="inlineStr">
        <is>
          <t>Voltage Sampling</t>
        </is>
      </c>
      <c r="E5" s="6" t="inlineStr">
        <is>
          <t>Feedback Mode</t>
        </is>
      </c>
      <c r="F5" s="6" t="inlineStr">
        <is>
          <t>Speed Mode</t>
        </is>
      </c>
      <c r="G5" s="6" t="inlineStr">
        <is>
          <t>Speed Unit</t>
        </is>
      </c>
      <c r="H5" s="6" t="inlineStr">
        <is>
          <t>Drive Bridge Type</t>
        </is>
      </c>
      <c r="I5" s="6" t="inlineStr">
        <is>
          <t>Phase</t>
        </is>
      </c>
    </row>
    <row r="6" ht="14.25" customHeight="1" s="66">
      <c r="A6" s="7" t="n"/>
      <c r="B6" s="18" t="inlineStr">
        <is>
          <t>(0) Forward direction</t>
        </is>
      </c>
      <c r="C6" s="9" t="inlineStr">
        <is>
          <t>(0) High frequency, no dead band</t>
        </is>
      </c>
      <c r="D6" s="9" t="inlineStr">
        <is>
          <t>(0) 1.5K low-voltage sampling</t>
        </is>
      </c>
      <c r="E6" s="9" t="inlineStr">
        <is>
          <t>(0) Single-turn angle feedback</t>
        </is>
      </c>
      <c r="F6" s="9" t="inlineStr">
        <is>
          <t>(0) Speed = 0 means stop</t>
        </is>
      </c>
      <c r="G6" s="9" t="inlineStr">
        <is>
          <t>(0) 50 steps/sec (base unit)</t>
        </is>
      </c>
      <c r="H6" s="18" t="inlineStr">
        <is>
          <t>(0) Brushless motor</t>
        </is>
      </c>
      <c r="I6" s="18" t="inlineStr">
        <is>
          <t>(0) Normal polarity</t>
        </is>
      </c>
    </row>
    <row r="7" ht="14.25" customHeight="1" s="66">
      <c r="A7" s="76" t="n"/>
      <c r="B7" s="18" t="inlineStr">
        <is>
          <t>(1) Counter-clockwise</t>
        </is>
      </c>
      <c r="C7" s="9" t="inlineStr">
        <is>
          <t>(1) Low frequency, with dead band</t>
        </is>
      </c>
      <c r="D7" s="9" t="inlineStr">
        <is>
          <t>(1) 1K high-voltage sampling</t>
        </is>
      </c>
      <c r="E7" s="9" t="inlineStr">
        <is>
          <t>(1) Full multi-turn angle feedback</t>
        </is>
      </c>
      <c r="F7" s="9" t="inlineStr">
        <is>
          <t>(1) Speed = 0 means maximum speed</t>
        </is>
      </c>
      <c r="G7" s="9" t="inlineStr">
        <is>
          <t>(1) steps/sec</t>
        </is>
      </c>
      <c r="H7" s="18" t="inlineStr">
        <is>
          <t>(1) Brushed motor</t>
        </is>
      </c>
      <c r="I7" s="18" t="inlineStr">
        <is>
          <t>(1) Reversed polarity</t>
        </is>
      </c>
    </row>
    <row r="8" ht="14.25" customHeight="1" s="66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</row>
    <row r="9" ht="14.25" customHeight="1" s="66">
      <c r="A9" s="3" t="inlineStr">
        <is>
          <t>Servo Status</t>
        </is>
      </c>
      <c r="B9" s="74" t="n"/>
      <c r="C9" s="74" t="n"/>
      <c r="D9" s="74" t="n"/>
      <c r="E9" s="74" t="n"/>
      <c r="F9" s="74" t="n"/>
      <c r="G9" s="74" t="n"/>
      <c r="H9" s="74" t="n"/>
      <c r="I9" s="75" t="n"/>
    </row>
    <row r="10" ht="14.25" customHeight="1" s="66">
      <c r="A10" s="4" t="inlineStr">
        <is>
          <t>Unload Condition
Address 0x13</t>
        </is>
      </c>
      <c r="B10" s="12" t="inlineStr">
        <is>
          <t>BIT7</t>
        </is>
      </c>
      <c r="C10" s="12" t="inlineStr">
        <is>
          <t>BIT6</t>
        </is>
      </c>
      <c r="D10" s="12" t="inlineStr">
        <is>
          <t>BIT5</t>
        </is>
      </c>
      <c r="E10" s="12" t="inlineStr">
        <is>
          <t>BIT4</t>
        </is>
      </c>
      <c r="F10" s="12" t="inlineStr">
        <is>
          <t>BIT3</t>
        </is>
      </c>
      <c r="G10" s="12" t="inlineStr">
        <is>
          <t>BIT2</t>
        </is>
      </c>
      <c r="H10" s="12" t="inlineStr">
        <is>
          <t>BIT1</t>
        </is>
      </c>
      <c r="I10" s="12" t="inlineStr">
        <is>
          <t>BIT0</t>
        </is>
      </c>
      <c r="J10" s="19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</row>
    <row r="11" ht="14.25" customHeight="1" s="66">
      <c r="A11" s="4" t="inlineStr">
        <is>
          <t>Bit Weight</t>
        </is>
      </c>
      <c r="B11" s="12" t="n">
        <v>128</v>
      </c>
      <c r="C11" s="12" t="n">
        <v>64</v>
      </c>
      <c r="D11" s="12" t="n">
        <v>32</v>
      </c>
      <c r="E11" s="12" t="n">
        <v>16</v>
      </c>
      <c r="F11" s="12" t="n">
        <v>8</v>
      </c>
      <c r="G11" s="12" t="n">
        <v>4</v>
      </c>
      <c r="H11" s="12" t="n">
        <v>2</v>
      </c>
      <c r="I11" s="12" t="n">
        <v>1</v>
      </c>
      <c r="J11" s="19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 ht="14.25" customHeight="1" s="66">
      <c r="A12" s="4" t="inlineStr">
        <is>
          <t>Address 0x41 (Servo Status)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Load Status</t>
        </is>
      </c>
      <c r="E12" s="4" t="inlineStr">
        <is>
          <t>--</t>
        </is>
      </c>
      <c r="F12" s="4" t="inlineStr">
        <is>
          <t>Current Status</t>
        </is>
      </c>
      <c r="G12" s="4" t="inlineStr">
        <is>
          <t>Temperature Status</t>
        </is>
      </c>
      <c r="H12" s="4" t="inlineStr">
        <is>
          <t>Magnetic Encoder Status</t>
        </is>
      </c>
      <c r="I12" s="4" t="inlineStr">
        <is>
          <t>Voltage Status</t>
        </is>
      </c>
      <c r="J12" s="19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</row>
    <row r="13" ht="14.25" customFormat="1" customHeight="1" s="22">
      <c r="A13" s="17" t="n"/>
      <c r="B13" s="17" t="inlineStr">
        <is>
          <t>--</t>
        </is>
      </c>
      <c r="C13" s="17" t="inlineStr">
        <is>
          <t>--</t>
        </is>
      </c>
      <c r="D13" s="17" t="inlineStr">
        <is>
          <t>(0) Load normal</t>
        </is>
      </c>
      <c r="E13" s="17" t="inlineStr">
        <is>
          <t>--</t>
        </is>
      </c>
      <c r="F13" s="17" t="inlineStr">
        <is>
          <t>(0) Current normal</t>
        </is>
      </c>
      <c r="G13" s="17" t="inlineStr">
        <is>
          <t>(0) Temperature normal</t>
        </is>
      </c>
      <c r="H13" s="17" t="inlineStr">
        <is>
          <t>(0) Magnetic encoder normal</t>
        </is>
      </c>
      <c r="I13" s="17" t="inlineStr">
        <is>
          <t>(0) Voltage normal</t>
        </is>
      </c>
    </row>
    <row r="14" ht="14.25" customFormat="1" customHeight="1" s="22">
      <c r="A14" s="77" t="n"/>
      <c r="B14" s="17" t="inlineStr">
        <is>
          <t>--</t>
        </is>
      </c>
      <c r="C14" s="17" t="inlineStr">
        <is>
          <t>--</t>
        </is>
      </c>
      <c r="D14" s="17" t="inlineStr">
        <is>
          <t>(1) Load overloaded</t>
        </is>
      </c>
      <c r="E14" s="17" t="inlineStr">
        <is>
          <t>--</t>
        </is>
      </c>
      <c r="F14" s="17" t="inlineStr">
        <is>
          <t>(1) Overcurrent</t>
        </is>
      </c>
      <c r="G14" s="17" t="inlineStr">
        <is>
          <t>(1) Overheating</t>
        </is>
      </c>
      <c r="H14" s="17" t="inlineStr">
        <is>
          <t>(1) Magnetic encoder fault</t>
        </is>
      </c>
      <c r="I14" s="17" t="inlineStr">
        <is>
          <t>(1) Over-voltage / Under-voltage</t>
        </is>
      </c>
    </row>
    <row r="15"/>
    <row r="16" ht="14.25" customFormat="1" customHeight="1" s="2">
      <c r="A16" s="15" t="inlineStr">
        <is>
          <t>Unload Condition</t>
        </is>
      </c>
      <c r="B16" s="78" t="n"/>
      <c r="C16" s="78" t="n"/>
      <c r="D16" s="78" t="n"/>
      <c r="E16" s="78" t="n"/>
      <c r="F16" s="78" t="n"/>
      <c r="G16" s="78" t="n"/>
      <c r="H16" s="78" t="n"/>
      <c r="I16" s="78" t="n"/>
    </row>
    <row r="17" ht="14.25" customFormat="1" customHeight="1" s="2">
      <c r="A17" s="4" t="inlineStr">
        <is>
          <t>Bit Position</t>
        </is>
      </c>
      <c r="B17" s="6" t="inlineStr">
        <is>
          <t>BIT7</t>
        </is>
      </c>
      <c r="C17" s="6" t="inlineStr">
        <is>
          <t>BIT6</t>
        </is>
      </c>
      <c r="D17" s="6" t="inlineStr">
        <is>
          <t>BIT5</t>
        </is>
      </c>
      <c r="E17" s="6" t="inlineStr">
        <is>
          <t>BIT4</t>
        </is>
      </c>
      <c r="F17" s="6" t="inlineStr">
        <is>
          <t>BIT3</t>
        </is>
      </c>
      <c r="G17" s="6" t="inlineStr">
        <is>
          <t>BIT2</t>
        </is>
      </c>
      <c r="H17" s="6" t="inlineStr">
        <is>
          <t>BIT1</t>
        </is>
      </c>
      <c r="I17" s="6" t="inlineStr">
        <is>
          <t>BIT0</t>
        </is>
      </c>
    </row>
    <row r="18" ht="14.25" customFormat="1" customHeight="1" s="2">
      <c r="A18" s="4" t="inlineStr">
        <is>
          <t>Bit Weight</t>
        </is>
      </c>
      <c r="B18" s="4" t="n">
        <v>128</v>
      </c>
      <c r="C18" s="4" t="n">
        <v>64</v>
      </c>
      <c r="D18" s="4" t="n">
        <v>32</v>
      </c>
      <c r="E18" s="4" t="n">
        <v>16</v>
      </c>
      <c r="F18" s="4" t="n">
        <v>8</v>
      </c>
      <c r="G18" s="4" t="n">
        <v>4</v>
      </c>
      <c r="H18" s="4" t="n">
        <v>2</v>
      </c>
      <c r="I18" s="4" t="n">
        <v>1</v>
      </c>
    </row>
    <row r="19" ht="14.25" customFormat="1" customHeight="1" s="2">
      <c r="A19" s="4" t="inlineStr">
        <is>
          <t>Address 0x13</t>
        </is>
      </c>
      <c r="B19" s="6" t="inlineStr">
        <is>
          <t>--</t>
        </is>
      </c>
      <c r="C19" s="6" t="inlineStr">
        <is>
          <t>--</t>
        </is>
      </c>
      <c r="D19" s="6" t="inlineStr">
        <is>
          <t>Load Overload</t>
        </is>
      </c>
      <c r="E19" s="6" t="inlineStr">
        <is>
          <t>--</t>
        </is>
      </c>
      <c r="F19" s="6" t="inlineStr">
        <is>
          <t>Overcurrent Protection</t>
        </is>
      </c>
      <c r="G19" s="6" t="inlineStr">
        <is>
          <t>Overheat Protection</t>
        </is>
      </c>
      <c r="H19" s="6" t="inlineStr">
        <is>
          <t>Magnetic Encoder Protection</t>
        </is>
      </c>
      <c r="I19" s="6" t="inlineStr">
        <is>
          <t>Voltage Protection</t>
        </is>
      </c>
    </row>
    <row r="20" ht="14.25" customFormat="1" customHeight="1" s="2">
      <c r="A20" s="17" t="n"/>
      <c r="B20" s="17" t="inlineStr">
        <is>
          <t>--</t>
        </is>
      </c>
      <c r="C20" s="17" t="inlineStr">
        <is>
          <t>--</t>
        </is>
      </c>
      <c r="D20" s="17" t="inlineStr">
        <is>
          <t>(0) Disable load overload protection</t>
        </is>
      </c>
      <c r="E20" s="17" t="inlineStr">
        <is>
          <t>--</t>
        </is>
      </c>
      <c r="F20" s="17" t="inlineStr">
        <is>
          <t>(0) Disable overcurrent protection</t>
        </is>
      </c>
      <c r="G20" s="17" t="inlineStr">
        <is>
          <t>(0) Disable overheat protection</t>
        </is>
      </c>
      <c r="H20" s="17" t="inlineStr">
        <is>
          <t>(0) Disable magnetic encoder protection</t>
        </is>
      </c>
      <c r="I20" s="17" t="inlineStr">
        <is>
          <t>(0) Disable voltage protection</t>
        </is>
      </c>
    </row>
    <row r="21" ht="14.25" customFormat="1" customHeight="1" s="2">
      <c r="A21" s="77" t="n"/>
      <c r="B21" s="17" t="inlineStr">
        <is>
          <t>--</t>
        </is>
      </c>
      <c r="C21" s="17" t="inlineStr">
        <is>
          <t>--</t>
        </is>
      </c>
      <c r="D21" s="17" t="inlineStr">
        <is>
          <t>(1) Enable load overload protection</t>
        </is>
      </c>
      <c r="E21" s="17" t="inlineStr">
        <is>
          <t>--</t>
        </is>
      </c>
      <c r="F21" s="17" t="inlineStr">
        <is>
          <t>(1) Enable overcurrent protection</t>
        </is>
      </c>
      <c r="G21" s="17" t="inlineStr">
        <is>
          <t>(1) Enable overheat protection</t>
        </is>
      </c>
      <c r="H21" s="17" t="inlineStr">
        <is>
          <t>(1) Enable magnetic encoder protection</t>
        </is>
      </c>
      <c r="I21" s="17" t="inlineStr">
        <is>
          <t>(1) Enable voltage protection</t>
        </is>
      </c>
    </row>
    <row r="22"/>
    <row r="23" ht="14.25" customFormat="1" customHeight="1" s="2">
      <c r="A23" s="15" t="inlineStr">
        <is>
          <t>LED Alarm Condition</t>
        </is>
      </c>
      <c r="B23" s="78" t="n"/>
      <c r="C23" s="78" t="n"/>
      <c r="D23" s="78" t="n"/>
      <c r="E23" s="78" t="n"/>
      <c r="F23" s="78" t="n"/>
      <c r="G23" s="78" t="n"/>
      <c r="H23" s="78" t="n"/>
      <c r="I23" s="78" t="n"/>
    </row>
    <row r="24" ht="14.25" customFormat="1" customHeight="1" s="2">
      <c r="A24" s="4" t="inlineStr">
        <is>
          <t>Bit Position</t>
        </is>
      </c>
      <c r="B24" s="6" t="inlineStr">
        <is>
          <t>BIT7</t>
        </is>
      </c>
      <c r="C24" s="6" t="inlineStr">
        <is>
          <t>BIT6</t>
        </is>
      </c>
      <c r="D24" s="6" t="inlineStr">
        <is>
          <t>BIT5</t>
        </is>
      </c>
      <c r="E24" s="6" t="inlineStr">
        <is>
          <t>BIT4</t>
        </is>
      </c>
      <c r="F24" s="6" t="inlineStr">
        <is>
          <t>BIT3</t>
        </is>
      </c>
      <c r="G24" s="6" t="inlineStr">
        <is>
          <t>BIT2</t>
        </is>
      </c>
      <c r="H24" s="6" t="inlineStr">
        <is>
          <t>BIT1</t>
        </is>
      </c>
      <c r="I24" s="6" t="inlineStr">
        <is>
          <t>BIT0</t>
        </is>
      </c>
    </row>
    <row r="25" ht="14.25" customFormat="1" customHeight="1" s="2">
      <c r="A25" s="4" t="inlineStr">
        <is>
          <t>Bit Weight</t>
        </is>
      </c>
      <c r="B25" s="4" t="n">
        <v>128</v>
      </c>
      <c r="C25" s="4" t="n">
        <v>64</v>
      </c>
      <c r="D25" s="4" t="n">
        <v>32</v>
      </c>
      <c r="E25" s="4" t="n">
        <v>16</v>
      </c>
      <c r="F25" s="4" t="n">
        <v>8</v>
      </c>
      <c r="G25" s="4" t="n">
        <v>4</v>
      </c>
      <c r="H25" s="4" t="n">
        <v>2</v>
      </c>
      <c r="I25" s="4" t="n">
        <v>1</v>
      </c>
    </row>
    <row r="26" ht="14.25" customFormat="1" customHeight="1" s="2">
      <c r="A26" s="4" t="inlineStr">
        <is>
          <t>Address 0x14</t>
        </is>
      </c>
      <c r="B26" s="6" t="inlineStr">
        <is>
          <t>--</t>
        </is>
      </c>
      <c r="C26" s="6" t="inlineStr">
        <is>
          <t>--</t>
        </is>
      </c>
      <c r="D26" s="6" t="inlineStr">
        <is>
          <t>Load Alarm</t>
        </is>
      </c>
      <c r="E26" s="6" t="inlineStr">
        <is>
          <t>--</t>
        </is>
      </c>
      <c r="F26" s="6" t="inlineStr">
        <is>
          <t>Overcurrent Alarm</t>
        </is>
      </c>
      <c r="G26" s="6" t="inlineStr">
        <is>
          <t>Overheat Alarm</t>
        </is>
      </c>
      <c r="H26" s="6" t="inlineStr">
        <is>
          <t>Magnetic Encoder Sensor</t>
        </is>
      </c>
      <c r="I26" s="6" t="inlineStr">
        <is>
          <t>Voltage Alarm</t>
        </is>
      </c>
    </row>
    <row r="27" ht="14.25" customFormat="1" customHeight="1" s="2">
      <c r="A27" s="17" t="n"/>
      <c r="B27" s="17" t="inlineStr">
        <is>
          <t>--</t>
        </is>
      </c>
      <c r="C27" s="17" t="inlineStr">
        <is>
          <t>--</t>
        </is>
      </c>
      <c r="D27" s="17" t="inlineStr">
        <is>
          <t>(0) Disable load overload alarm</t>
        </is>
      </c>
      <c r="E27" s="17" t="inlineStr">
        <is>
          <t>--</t>
        </is>
      </c>
      <c r="F27" s="17" t="inlineStr">
        <is>
          <t>(0) Disable overcurrent alarm</t>
        </is>
      </c>
      <c r="G27" s="17" t="inlineStr">
        <is>
          <t>(0) Disable overheat alarm</t>
        </is>
      </c>
      <c r="H27" s="17" t="inlineStr">
        <is>
          <t>(0) Disable magnetic encoder alarm</t>
        </is>
      </c>
      <c r="I27" s="17" t="inlineStr">
        <is>
          <t>(0) Disable voltage alarm</t>
        </is>
      </c>
    </row>
    <row r="28" ht="14.25" customFormat="1" customHeight="1" s="2">
      <c r="A28" s="77" t="n"/>
      <c r="B28" s="17" t="inlineStr">
        <is>
          <t>--</t>
        </is>
      </c>
      <c r="C28" s="17" t="inlineStr">
        <is>
          <t>--</t>
        </is>
      </c>
      <c r="D28" s="17" t="inlineStr">
        <is>
          <t>(1) Enable load overload alarm</t>
        </is>
      </c>
      <c r="E28" s="17" t="inlineStr">
        <is>
          <t>--</t>
        </is>
      </c>
      <c r="F28" s="17" t="inlineStr">
        <is>
          <t>(1) Enable overcurrent alarm</t>
        </is>
      </c>
      <c r="G28" s="17" t="inlineStr">
        <is>
          <t>(1) Enable overheat alarm</t>
        </is>
      </c>
      <c r="H28" s="17" t="inlineStr">
        <is>
          <t>(1) Enable magnetic encoder alarm</t>
        </is>
      </c>
      <c r="I28" s="17" t="inlineStr">
        <is>
          <t>(1) Enable voltage alarm</t>
        </is>
      </c>
    </row>
  </sheetData>
  <sheetProtection selectLockedCells="0" selectUnlockedCells="0" sheet="1" objects="1" insertRows="1" insertHyperlinks="1" autoFilter="0" scenarios="0" formatColumns="0" deleteColumns="1" insertColumns="1" pivotTables="1" deleteRows="1" formatCells="0" formatRows="0" sort="1" password="CD43"/>
  <mergeCells count="8">
    <mergeCell ref="A27:A28"/>
    <mergeCell ref="A2:I2"/>
    <mergeCell ref="A13:A14"/>
    <mergeCell ref="A23:I23"/>
    <mergeCell ref="A9:I9"/>
    <mergeCell ref="A20:A21"/>
    <mergeCell ref="A6:A7"/>
    <mergeCell ref="A16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</dc:creator>
  <dcterms:created xmlns:dcterms="http://purl.org/dc/terms/" xmlns:xsi="http://www.w3.org/2001/XMLSchema-instance" xsi:type="dcterms:W3CDTF">2020-03-25T15:05:00Z</dcterms:created>
  <dcterms:modified xmlns:dcterms="http://purl.org/dc/terms/" xmlns:xsi="http://www.w3.org/2001/XMLSchema-instance" xsi:type="dcterms:W3CDTF">2026-05-04T22:20:33Z</dcterms:modified>
  <cp:lastModifiedBy>郭奕航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2052-11.1.0.14177</vt:lpwstr>
  </property>
  <property name="ICV" fmtid="{D5CDD505-2E9C-101B-9397-08002B2CF9AE}" pid="3">
    <vt:lpwstr xmlns:vt="http://schemas.openxmlformats.org/officeDocument/2006/docPropsVTypes">B3D75C0A43854AC99762AC6AA16F0E6A_13</vt:lpwstr>
  </property>
</Properties>
</file>